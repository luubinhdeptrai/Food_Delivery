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anh sách chức năng" sheetId="1" r:id="rId1"/>
    <sheet name="Hệ số hiệu chỉnh" sheetId="2" r:id="rId2"/>
    <sheet name="Công nghệ triển khai" sheetId="3" r:id="rId3"/>
    <sheet name="Danh mục chi phí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<sst xmlns="http://schemas.openxmlformats.org/spreadsheetml/2006/main" count="494" uniqueCount="262">
  <si>
    <t>DANH SÁCH CÁC CHỨC NĂNG</t>
  </si>
  <si>
    <t>Tên dự án:</t>
  </si>
  <si>
    <t>SoLi Food Delivery Platform</t>
  </si>
  <si>
    <t>Người thực hiện:</t>
  </si>
  <si>
    <t>Nhóm phát triển SoLi</t>
  </si>
  <si>
    <t>Nhập dữ liệu</t>
  </si>
  <si>
    <t>Xuất dữ liệu</t>
  </si>
  <si>
    <t>Truy vấn</t>
  </si>
  <si>
    <t>File nội bộ</t>
  </si>
  <si>
    <t>Giao diện ngoài</t>
  </si>
  <si>
    <t>STT</t>
  </si>
  <si>
    <t>Tên chức năng chính</t>
  </si>
  <si>
    <t>Tên chức năng con</t>
  </si>
  <si>
    <t>Môi trường triển khai</t>
  </si>
  <si>
    <t>DANH SÁCH ĐỘ ĐO</t>
  </si>
  <si>
    <t>Web</t>
  </si>
  <si>
    <t>Mobile</t>
  </si>
  <si>
    <t>C1</t>
  </si>
  <si>
    <t>W1</t>
  </si>
  <si>
    <t>C2</t>
  </si>
  <si>
    <t>W2</t>
  </si>
  <si>
    <t>C3</t>
  </si>
  <si>
    <t>W3</t>
  </si>
  <si>
    <t>C4</t>
  </si>
  <si>
    <t>W4</t>
  </si>
  <si>
    <t>C5</t>
  </si>
  <si>
    <t>W5</t>
  </si>
  <si>
    <t>Authentication &amp; Access</t>
  </si>
  <si>
    <t>Sign Up</t>
  </si>
  <si>
    <t/>
  </si>
  <si>
    <t>X</t>
  </si>
  <si>
    <t>Sign In</t>
  </si>
  <si>
    <t>Sign Out</t>
  </si>
  <si>
    <t>Forgot Password / Send OTP</t>
  </si>
  <si>
    <t>Reset Password</t>
  </si>
  <si>
    <t>Verify Phone OTP</t>
  </si>
  <si>
    <t>Get Session / Refresh</t>
  </si>
  <si>
    <t>User Profile</t>
  </si>
  <si>
    <t>View Profile</t>
  </si>
  <si>
    <t>Update Profile</t>
  </si>
  <si>
    <t>Upload Avatar</t>
  </si>
  <si>
    <t>Manage Delivery Addresses</t>
  </si>
  <si>
    <t>Restaurant Discovery</t>
  </si>
  <si>
    <t>Browse Restaurant List</t>
  </si>
  <si>
    <t>View Restaurant Detail</t>
  </si>
  <si>
    <t>Search Restaurants</t>
  </si>
  <si>
    <t>Filter / Sort Restaurants</t>
  </si>
  <si>
    <t>View Menu &amp; Categories</t>
  </si>
  <si>
    <t>View Menu Item Detail</t>
  </si>
  <si>
    <t>Check Delivery Zone Coverage</t>
  </si>
  <si>
    <t>Cart &amp; Checkout</t>
  </si>
  <si>
    <t>Add Item To Cart</t>
  </si>
  <si>
    <t>Update Cart Item Quantity</t>
  </si>
  <si>
    <t>Remove Cart Item</t>
  </si>
  <si>
    <t>View Cart</t>
  </si>
  <si>
    <t>Apply Promotion / Coupon</t>
  </si>
  <si>
    <t>Select Delivery Address</t>
  </si>
  <si>
    <t>Choose Payment Method</t>
  </si>
  <si>
    <t>Place Order (Checkout)</t>
  </si>
  <si>
    <t>Payment</t>
  </si>
  <si>
    <t>Initiate VNPay Payment</t>
  </si>
  <si>
    <t>Process VNPay IPN</t>
  </si>
  <si>
    <t>Handle VNPay Return URL</t>
  </si>
  <si>
    <t>Payment Timeout Auto-Cancel</t>
  </si>
  <si>
    <t>Refund (Admin)</t>
  </si>
  <si>
    <t>View Payment History</t>
  </si>
  <si>
    <t>Order (Customer)</t>
  </si>
  <si>
    <t>View Order History</t>
  </si>
  <si>
    <t>View Order Detail</t>
  </si>
  <si>
    <t>Track Order Status (Realtime)</t>
  </si>
  <si>
    <t>Cancel Order</t>
  </si>
  <si>
    <t>Reorder</t>
  </si>
  <si>
    <t>Notification</t>
  </si>
  <si>
    <t>Receive In-App Notification</t>
  </si>
  <si>
    <t>Receive Push Notification</t>
  </si>
  <si>
    <t>Receive Email Notification</t>
  </si>
  <si>
    <t>View Notification History</t>
  </si>
  <si>
    <t>Update Notification Preferences</t>
  </si>
  <si>
    <t>Register / Refresh Device Token</t>
  </si>
  <si>
    <t>Restaurant Management</t>
  </si>
  <si>
    <t>Create/Update Restaurant Profile</t>
  </si>
  <si>
    <t>Manage Menu Categories</t>
  </si>
  <si>
    <t>Create Menu Item</t>
  </si>
  <si>
    <t>Update Menu Item</t>
  </si>
  <si>
    <t>Delete / Hide Menu Item</t>
  </si>
  <si>
    <t>Manage Modifiers / Options</t>
  </si>
  <si>
    <t>Manage Delivery Zones</t>
  </si>
  <si>
    <t>Set Operating Hours</t>
  </si>
  <si>
    <t>View Incoming Orders (Kanban)</t>
  </si>
  <si>
    <t>Accept / Reject Order</t>
  </si>
  <si>
    <t>Update Order Status (Prepare/Ready)</t>
  </si>
  <si>
    <t>Manage Restaurant Promotions</t>
  </si>
  <si>
    <t>View Sales Reports</t>
  </si>
  <si>
    <t>Shipper Operations</t>
  </si>
  <si>
    <t>Browse Available Deliveries</t>
  </si>
  <si>
    <t>Accept Delivery Assignment</t>
  </si>
  <si>
    <t>Update Pickup Status</t>
  </si>
  <si>
    <t>Update Delivery Status</t>
  </si>
  <si>
    <t>Live Location Update</t>
  </si>
  <si>
    <t>View Earnings</t>
  </si>
  <si>
    <t>Admin</t>
  </si>
  <si>
    <t>Approve Restaurant Partner</t>
  </si>
  <si>
    <t>Approve Shipper</t>
  </si>
  <si>
    <t>Manage Users (List/Block)</t>
  </si>
  <si>
    <t>Manage Platform Promotions</t>
  </si>
  <si>
    <t>Monitor Live Orders</t>
  </si>
  <si>
    <t>Platform Reports / Dashboards</t>
  </si>
  <si>
    <t>Manage Roles &amp; Permissions</t>
  </si>
  <si>
    <t>Configure App Settings</t>
  </si>
  <si>
    <t>Manage Content &amp; Categories</t>
  </si>
  <si>
    <t>View Audit Logs</t>
  </si>
  <si>
    <t>Review &amp; Rating</t>
  </si>
  <si>
    <t>Submit Order Review</t>
  </si>
  <si>
    <t>View Restaurant Reviews</t>
  </si>
  <si>
    <t>Reply to Review (Restaurant)</t>
  </si>
  <si>
    <t>Moderate Reviews (Admin)</t>
  </si>
  <si>
    <t>UFP</t>
  </si>
  <si>
    <t>Tổng</t>
  </si>
  <si>
    <t>Tổng UFP (Unadjusted FP)</t>
  </si>
  <si>
    <t>ΣFi (Tổng điểm 12 yếu tố)</t>
  </si>
  <si>
    <t>VAF = 0.65 + 0.01 × ΣFi</t>
  </si>
  <si>
    <t>AFP = UFP × VAF (Số lượng FP)</t>
  </si>
  <si>
    <t>Tên</t>
  </si>
  <si>
    <t>Giá trị</t>
  </si>
  <si>
    <t>Đơn vị</t>
  </si>
  <si>
    <t>Chi phí trả mỗi người/tháng</t>
  </si>
  <si>
    <t>USD</t>
  </si>
  <si>
    <t>Năng suất giả định</t>
  </si>
  <si>
    <t>FP/pm</t>
  </si>
  <si>
    <t>Chi phí mỗi FP</t>
  </si>
  <si>
    <t>USD/FP</t>
  </si>
  <si>
    <t>Số lượng FP</t>
  </si>
  <si>
    <t>FP</t>
  </si>
  <si>
    <t>Quy ra đơn vị pm</t>
  </si>
  <si>
    <t>pm</t>
  </si>
  <si>
    <t>Chi phí quy ra tiền USD</t>
  </si>
  <si>
    <t>Câu hỏi (Yếu tố kỹ thuật)</t>
  </si>
  <si>
    <t>Điểm (Fi)</t>
  </si>
  <si>
    <t>Lý do chọn</t>
  </si>
  <si>
    <t>Bảo đảm an toàn khi cập nhật &amp; truyền dữ liệu?</t>
  </si>
  <si>
    <t>Thanh toán VNPay (HMAC SHA512), Better Auth bearer session, idempotency keys, HTTPS, PII hồ sơ người dùng + địa chỉ giao hàng.</t>
  </si>
  <si>
    <t>Có đòi hỏi truyền thông không?</t>
  </si>
  <si>
    <t>Mobile + Web + Backend giao tiếp REST; Socket.IO realtime cho /notifications và trạng thái đơn; webhook IPN từ VNPay; FCM push.</t>
  </si>
  <si>
    <t>Có xử lý phân bố không?</t>
  </si>
  <si>
    <t>Modular monolith + PostgreSQL + Redis/Valkey + Cloudinary + VNPay; nhiều client (mobile, web).</t>
  </si>
  <si>
    <t>Tốc độ có quan trọng không?</t>
  </si>
  <si>
    <t>ASR ràng buộc: tìm kiếm/danh sách p95 ≤ 2s; cập nhật trạng thái ≤ 5s; xử lý đơn vào giờ cao điểm.</t>
  </si>
  <si>
    <t>Có đòi hỏi cấu hình mạnh?</t>
  </si>
  <si>
    <t>Cần DB + Redis + worker timeout ổn định; Render free tier giới hạn nên phải tối ưu kết nối, pool.</t>
  </si>
  <si>
    <t>Nhập dữ liệu có transaction?</t>
  </si>
  <si>
    <t>Place Order (CQRS) đa bước: trừ kho/khoá Redis, áp khuyến mãi, ghi đơn, gọi VNPay; transition trạng thái dùng state machine + transaction.</t>
  </si>
  <si>
    <t>Dữ liệu lưu trữ cập nhật trực tuyến?</t>
  </si>
  <si>
    <t>Trạng thái đơn, giỏ hàng, snapshot ACL, inbox thông báo đều update online; projector cập nhật ngay khi nhà hàng/menu/zone thay đổi.</t>
  </si>
  <si>
    <t>Nhập/xuất/truy vấn phức tạp?</t>
  </si>
  <si>
    <t>Tìm kiếm theo khoảng cách/zone, filter nhiều tiêu chí, lịch sử đơn theo role, báo cáo doanh thu, Kanban cho nhà hàng.</t>
  </si>
  <si>
    <t>Xử lý bên trong phức tạp?</t>
  </si>
  <si>
    <t>State machine đơn hàng, pricing engine khuyến mãi (preview/reserve/confirm/rollback), reconcile thanh toán, ACL snapshot, quiet-hours.</t>
  </si>
  <si>
    <t>Mã nguồn cần thiết kế dùng lại?</t>
  </si>
  <si>
    <t>Port/Adapter (PAYMENT_INITIATION_PORT, PROMOTION_APPLICATION_PORT), kênh thông báo (in-app/push/email) trừu tượng qua interface, EventBus.</t>
  </si>
  <si>
    <t>Chuyển đổi dữ liệu &amp; cài đặt có phức tạp?</t>
  </si>
  <si>
    <t>Drizzle migrations + seed (catalog, zones), cấu hình CI/CD GitHub Actions + GHCR + Render IaC (Terraform).</t>
  </si>
  <si>
    <t>Dễ thay đổi &amp; dễ dùng?</t>
  </si>
  <si>
    <t>Người dùng cuối là khách hàng phổ thông + nhân viên nhà hàng; UI bằng tiếng Việt; mobile-first; cấu hình kênh thông báo linh hoạt.</t>
  </si>
  <si>
    <t>Tổng ΣFi</t>
  </si>
  <si>
    <t>CÔNG NGHỆ TRIỂN KHAI - SoLi Food Delivery Platform</t>
  </si>
  <si>
    <t>Hạng mục</t>
  </si>
  <si>
    <t>Công nghệ</t>
  </si>
  <si>
    <t>Ghi chú</t>
  </si>
  <si>
    <t>Frontend Web</t>
  </si>
  <si>
    <t>React 18 + Vite + TypeScript + TailwindCSS + shadcn/ui</t>
  </si>
  <si>
    <t>Dashboard nhà hàng và quản trị; build production ra Nginx Docker image.</t>
  </si>
  <si>
    <t>Frontend Mobile</t>
  </si>
  <si>
    <t>React Native (Expo) + NativeWind + Expo Router</t>
  </si>
  <si>
    <t>Ứng dụng khách hàng; EAS Build phát hành Android. iOS sẵn sàng.</t>
  </si>
  <si>
    <t>Backend</t>
  </si>
  <si>
    <t>NestJS 10 + TypeScript (Node.js LTS)</t>
  </si>
  <si>
    <t>Modular monolith; module bounded contexts: auth, restaurant-catalog, ordering, payment, promotion, notification, image.</t>
  </si>
  <si>
    <t>Kiến trúc</t>
  </si>
  <si>
    <t>Modular Monolith + Selective CQRS + EventBus nội bộ</t>
  </si>
  <si>
    <t>PlaceOrderCommand, TransitionOrderCommand, ProcessIpnCommand; in-process EventBus + handler.</t>
  </si>
  <si>
    <t>ACL / Anti-Corruption</t>
  </si>
  <si>
    <t>Snapshot Projector + Repository</t>
  </si>
  <si>
    <t>menu-item, restaurant, delivery-zone snapshots cho Ordering; restaurant snapshot cho Notification.</t>
  </si>
  <si>
    <t>Cơ sở dữ liệu</t>
  </si>
  <si>
    <t>PostgreSQL 16 + Drizzle ORM</t>
  </si>
  <si>
    <t>Migration bằng drizzle-kit; schema khai báo TypeScript-first.</t>
  </si>
  <si>
    <t>Cache / Realtime State</t>
  </si>
  <si>
    <t>Redis / Valkey</t>
  </si>
  <si>
    <t>Giỏ hàng, idempotency keys, distributed lock, presence, rate limit.</t>
  </si>
  <si>
    <t>Realtime Push</t>
  </si>
  <si>
    <t>Socket.IO (/notifications namespace)</t>
  </si>
  <si>
    <t>Cập nhật trạng thái đơn, thông báo trong app, theo dõi shipper.</t>
  </si>
  <si>
    <t>Xác thực</t>
  </si>
  <si>
    <t>Better Auth (bearer session) + Admin plugin + Phone OTP</t>
  </si>
  <si>
    <t>Vai trò: admin, restaurant, shipper, user; OTP qua nhà cung cấp SMS.</t>
  </si>
  <si>
    <t>Thanh toán</t>
  </si>
  <si>
    <t>VNPay (URL build + IPN + Return URL) — HMAC SHA512</t>
  </si>
  <si>
    <t>Refund stub cho dev; sẵn sàng tích hợp endpoint refund thật.</t>
  </si>
  <si>
    <t>Lưu trữ ảnh</t>
  </si>
  <si>
    <t>Cloudinary (signed upload)</t>
  </si>
  <si>
    <t>Hình ảnh menu, ảnh đại diện; URL chuẩn hoá lưu trong DB.</t>
  </si>
  <si>
    <t>Push Notification</t>
  </si>
  <si>
    <t>Firebase Cloud Messaging (FCM v1 API)</t>
  </si>
  <si>
    <t>Có Stub provider cho môi trường dev/test.</t>
  </si>
  <si>
    <t>Email</t>
  </si>
  <si>
    <t>Nodemailer + SMTP</t>
  </si>
  <si>
    <t>Có Noop provider để test offline; template HTML cho thông báo đơn hàng.</t>
  </si>
  <si>
    <t>Định vị / Bản đồ</t>
  </si>
  <si>
    <t>Tính khoảng cách theo công thức Haversine + zone polygon</t>
  </si>
  <si>
    <t>Module geo.service nội bộ; không phụ thuộc Google Maps SDK ở backend.</t>
  </si>
  <si>
    <t>Job / Task nền</t>
  </si>
  <si>
    <t>NestJS Schedule + Cron</t>
  </si>
  <si>
    <t>order-timeout, payment-timeout, device-token-cleanup.</t>
  </si>
  <si>
    <t>Validation</t>
  </si>
  <si>
    <t>Zod + class-validator + DTO</t>
  </si>
  <si>
    <t>Schema env (env.schema.ts), DTO toàn module, validator VND amount.</t>
  </si>
  <si>
    <t>Testing</t>
  </si>
  <si>
    <t>Jest + Supertest + Testing Library + Playwright</t>
  </si>
  <si>
    <t>Unit + e2e backend; integration cho web; smoke test mobile.</t>
  </si>
  <si>
    <t>CI/CD</t>
  </si>
  <si>
    <t>GitHub Actions + GHCR + Render IaC (Terraform)</t>
  </si>
  <si>
    <t>pipeline-main, pipeline-api, pipeline-web, pipeline-mobile, cd-render-iac.</t>
  </si>
  <si>
    <t>Đóng gói triển khai</t>
  </si>
  <si>
    <t>Docker (multi-stage) + docker-compose + Nginx</t>
  </si>
  <si>
    <t>Image API và Web đẩy lên ghcr.io; Render tier free khi phát triển.</t>
  </si>
  <si>
    <t>Logging / Quan sát</t>
  </si>
  <si>
    <t>NestJS Logger + structured logs + health endpoint</t>
  </si>
  <si>
    <t>Sẵn sàng tích hợp OpenTelemetry; metrics qua /health, /readyz.</t>
  </si>
  <si>
    <t>Bảo mật</t>
  </si>
  <si>
    <t>HTTPS/TLS, Helmet, rate limit, idempotency, HMAC chữ ký</t>
  </si>
  <si>
    <t>Tuân thủ OWASP Top 10; quản lý secret qua biến môi trường.</t>
  </si>
  <si>
    <t>Quản lý phụ thuộc</t>
  </si>
  <si>
    <t>pnpm workspaces + Turborepo</t>
  </si>
  <si>
    <t>Monorepo apps/api, apps/web, apps/mobile, infra/render, tools.</t>
  </si>
  <si>
    <t>TỔNG CHI PHÍ PHÁT TRIỂN PHẦN MỀM - SoLi Food Delivery</t>
  </si>
  <si>
    <t>Tham số đầu vào</t>
  </si>
  <si>
    <t>Tổng UFP</t>
  </si>
  <si>
    <t>ΣFi</t>
  </si>
  <si>
    <t>VAF</t>
  </si>
  <si>
    <t>AFP (FP đã hiệu chỉnh)</t>
  </si>
  <si>
    <t>Tổng chi phí dự án (gross)</t>
  </si>
  <si>
    <t>Danh mục chi phí</t>
  </si>
  <si>
    <t>Tỷ lệ</t>
  </si>
  <si>
    <t>Thành tiền (USD)</t>
  </si>
  <si>
    <t>Diễn giải</t>
  </si>
  <si>
    <t>Chi phí BA (Business Analysis)</t>
  </si>
  <si>
    <t>Khảo sát, UC, BRD, business rules, user stories.</t>
  </si>
  <si>
    <t>Chi phí Architecture &amp; Design</t>
  </si>
  <si>
    <t>ASR, ADD, ADR, SAD; thiết kế module/CQRS/ACL; bản vẽ PlantUML.</t>
  </si>
  <si>
    <t>Chi phí Development</t>
  </si>
  <si>
    <t>Backend NestJS, Web React, Mobile React Native, tích hợp VNPay/FCM/Cloudinary.</t>
  </si>
  <si>
    <t>Chi phí Testing &amp; QA</t>
  </si>
  <si>
    <t>Unit, integration, e2e, kịch bản thanh toán/IPN, hồi quy.</t>
  </si>
  <si>
    <t>Chi phí Deployment &amp; DevOps</t>
  </si>
  <si>
    <t>Docker, GHCR, Render IaC, GitHub Actions pipelines.</t>
  </si>
  <si>
    <t>Chi phí Training &amp; Hỗ trợ</t>
  </si>
  <si>
    <t>Tài liệu sử dụng cho nhà hàng, video hướng dẫn ≤5 phút.</t>
  </si>
  <si>
    <t>Chi phí Documentation</t>
  </si>
  <si>
    <t>Tài liệu kỹ thuật, sổ tay vận hành, tài liệu API.</t>
  </si>
  <si>
    <t>Chi phí Dự phòng (Reserve)</t>
  </si>
  <si>
    <t>Rủi ro tích hợp, thay đổi yêu cầu, mở rộng giai đoạn 2.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</si>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</sst>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4"/>
      <color rgb="FF1F4E78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0" fontId="0" fillId="3" borderId="1" xfId="0" applyNumberForma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3" fillId="0" borderId="1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7"/>
  <sheetViews>
    <sheetView tabSelected="1" workbookViewId="0">
      <pane ySplit="6" topLeftCell="A73" activePane="bottomLeft" state="frozen"/>
      <selection/>
      <selection pane="bottomLeft" activeCell="O87" sqref="O87"/>
    </sheetView>
  </sheetViews>
  <sheetFormatPr defaultColWidth="9" defaultRowHeight="14.4"/>
  <cols>
    <col min="1" max="1" width="6" customWidth="1"/>
    <col min="2" max="2" width="26" customWidth="1"/>
    <col min="3" max="3" width="36" customWidth="1"/>
    <col min="4" max="5" width="8" customWidth="1"/>
    <col min="6" max="15" width="6" customWidth="1"/>
  </cols>
  <sheetData>
    <row r="1" ht="24" customHeight="1" spans="1:15">
      <c r="A1" s="1" t="s">
        <v>0</v>
      </c>
    </row>
    <row r="2" spans="1:15">
      <c r="A2" s="17" t="s">
        <v>1</v>
      </c>
      <c r="B2" t="s">
        <v>2</v>
      </c>
    </row>
    <row r="3" spans="1:15">
      <c r="A3" s="17" t="s">
        <v>3</v>
      </c>
      <c r="B3" t="s">
        <v>4</v>
      </c>
    </row>
    <row r="4" ht="36" spans="1:15">
      <c r="F4" s="18" t="s">
        <v>5</v>
      </c>
      <c r="H4" s="18" t="s">
        <v>6</v>
      </c>
      <c r="J4" s="18" t="s">
        <v>7</v>
      </c>
      <c r="L4" s="18" t="s">
        <v>8</v>
      </c>
      <c r="N4" s="18" t="s">
        <v>9</v>
      </c>
    </row>
    <row r="5" ht="26" customHeight="1" spans="1:15">
      <c r="A5" s="5" t="s">
        <v>10</v>
      </c>
      <c r="B5" s="5" t="s">
        <v>11</v>
      </c>
      <c r="C5" s="5" t="s">
        <v>12</v>
      </c>
      <c r="D5" s="5" t="s">
        <v>13</v>
      </c>
      <c r="E5" s="5"/>
      <c r="F5" s="5" t="s">
        <v>14</v>
      </c>
      <c r="G5" s="5"/>
      <c r="H5" s="5"/>
      <c r="I5" s="5"/>
      <c r="J5" s="5"/>
      <c r="K5" s="5"/>
      <c r="L5" s="5"/>
      <c r="M5" s="5"/>
      <c r="N5" s="5"/>
      <c r="O5" s="5"/>
    </row>
    <row r="6" ht="20" customHeight="1" spans="1:15">
      <c r="A6" s="5"/>
      <c r="B6" s="5"/>
      <c r="C6" s="5"/>
      <c r="D6" s="5" t="s">
        <v>15</v>
      </c>
      <c r="E6" s="5" t="s">
        <v>16</v>
      </c>
      <c r="F6" s="5" t="s">
        <v>17</v>
      </c>
      <c r="G6" s="5" t="s">
        <v>18</v>
      </c>
      <c r="H6" s="5" t="s">
        <v>19</v>
      </c>
      <c r="I6" s="5" t="s">
        <v>20</v>
      </c>
      <c r="J6" s="5" t="s">
        <v>21</v>
      </c>
      <c r="K6" s="5" t="s">
        <v>22</v>
      </c>
      <c r="L6" s="5" t="s">
        <v>23</v>
      </c>
      <c r="M6" s="5" t="s">
        <v>24</v>
      </c>
      <c r="N6" s="5" t="s">
        <v>25</v>
      </c>
      <c r="O6" s="5" t="s">
        <v>26</v>
      </c>
    </row>
    <row r="7" spans="1:15">
      <c r="A7" s="4">
        <v>1</v>
      </c>
      <c r="B7" s="3" t="s">
        <v>27</v>
      </c>
      <c r="C7" s="3" t="s">
        <v>28</v>
      </c>
      <c r="D7" s="4" t="s">
        <v>29</v>
      </c>
      <c r="E7" s="4" t="s">
        <v>30</v>
      </c>
      <c r="F7" s="4">
        <v>1</v>
      </c>
      <c r="G7" s="4">
        <v>4</v>
      </c>
      <c r="H7" s="4">
        <v>1</v>
      </c>
      <c r="I7" s="4">
        <v>5</v>
      </c>
      <c r="J7" s="4">
        <v>0</v>
      </c>
      <c r="K7" s="4">
        <v>4</v>
      </c>
      <c r="L7" s="4">
        <v>1</v>
      </c>
      <c r="M7" s="4">
        <v>10</v>
      </c>
      <c r="N7" s="4">
        <v>1</v>
      </c>
      <c r="O7" s="4">
        <v>7</v>
      </c>
    </row>
    <row r="8" spans="1:15">
      <c r="A8" s="4">
        <v>2</v>
      </c>
      <c r="B8" s="3" t="s">
        <v>27</v>
      </c>
      <c r="C8" s="3" t="s">
        <v>31</v>
      </c>
      <c r="D8" s="4" t="s">
        <v>30</v>
      </c>
      <c r="E8" s="4" t="s">
        <v>30</v>
      </c>
      <c r="F8" s="4">
        <v>1</v>
      </c>
      <c r="G8" s="4">
        <v>4</v>
      </c>
      <c r="H8" s="4">
        <v>1</v>
      </c>
      <c r="I8" s="4">
        <v>5</v>
      </c>
      <c r="J8" s="4">
        <v>0</v>
      </c>
      <c r="K8" s="4">
        <v>4</v>
      </c>
      <c r="L8" s="4">
        <v>0</v>
      </c>
      <c r="M8" s="4">
        <v>10</v>
      </c>
      <c r="N8" s="4">
        <v>0</v>
      </c>
      <c r="O8" s="4">
        <v>7</v>
      </c>
    </row>
    <row r="9" spans="1:15">
      <c r="A9" s="4">
        <v>3</v>
      </c>
      <c r="B9" s="3" t="s">
        <v>27</v>
      </c>
      <c r="C9" s="3" t="s">
        <v>32</v>
      </c>
      <c r="D9" s="4" t="s">
        <v>30</v>
      </c>
      <c r="E9" s="4" t="s">
        <v>30</v>
      </c>
      <c r="F9" s="4">
        <v>1</v>
      </c>
      <c r="G9" s="4">
        <v>4</v>
      </c>
      <c r="H9" s="4">
        <v>1</v>
      </c>
      <c r="I9" s="4">
        <v>5</v>
      </c>
      <c r="J9" s="4">
        <v>0</v>
      </c>
      <c r="K9" s="4">
        <v>4</v>
      </c>
      <c r="L9" s="4">
        <v>0</v>
      </c>
      <c r="M9" s="4">
        <v>10</v>
      </c>
      <c r="N9" s="4">
        <v>0</v>
      </c>
      <c r="O9" s="4">
        <v>7</v>
      </c>
    </row>
    <row r="10" spans="1:15">
      <c r="A10" s="4">
        <v>4</v>
      </c>
      <c r="B10" s="3" t="s">
        <v>27</v>
      </c>
      <c r="C10" s="3" t="s">
        <v>33</v>
      </c>
      <c r="D10" s="4" t="s">
        <v>30</v>
      </c>
      <c r="E10" s="4" t="s">
        <v>30</v>
      </c>
      <c r="F10" s="4">
        <v>1</v>
      </c>
      <c r="G10" s="4">
        <v>4</v>
      </c>
      <c r="H10" s="4">
        <v>1</v>
      </c>
      <c r="I10" s="4">
        <v>5</v>
      </c>
      <c r="J10" s="4">
        <v>0</v>
      </c>
      <c r="K10" s="4">
        <v>4</v>
      </c>
      <c r="L10" s="4">
        <v>0</v>
      </c>
      <c r="M10" s="4">
        <v>10</v>
      </c>
      <c r="N10" s="4">
        <v>1</v>
      </c>
      <c r="O10" s="4">
        <v>7</v>
      </c>
    </row>
    <row r="11" spans="1:15">
      <c r="A11" s="4">
        <v>5</v>
      </c>
      <c r="B11" s="3" t="s">
        <v>27</v>
      </c>
      <c r="C11" s="3" t="s">
        <v>34</v>
      </c>
      <c r="D11" s="4" t="s">
        <v>30</v>
      </c>
      <c r="E11" s="4" t="s">
        <v>30</v>
      </c>
      <c r="F11" s="4">
        <v>1</v>
      </c>
      <c r="G11" s="4">
        <v>4</v>
      </c>
      <c r="H11" s="4">
        <v>1</v>
      </c>
      <c r="I11" s="4">
        <v>5</v>
      </c>
      <c r="J11" s="4">
        <v>0</v>
      </c>
      <c r="K11" s="4">
        <v>4</v>
      </c>
      <c r="L11" s="4">
        <v>1</v>
      </c>
      <c r="M11" s="4">
        <v>10</v>
      </c>
      <c r="N11" s="4">
        <v>0</v>
      </c>
      <c r="O11" s="4">
        <v>7</v>
      </c>
    </row>
    <row r="12" spans="1:15">
      <c r="A12" s="4">
        <v>6</v>
      </c>
      <c r="B12" s="3" t="s">
        <v>27</v>
      </c>
      <c r="C12" s="3" t="s">
        <v>35</v>
      </c>
      <c r="D12" s="4" t="s">
        <v>29</v>
      </c>
      <c r="E12" s="4" t="s">
        <v>30</v>
      </c>
      <c r="F12" s="4">
        <v>1</v>
      </c>
      <c r="G12" s="4">
        <v>4</v>
      </c>
      <c r="H12" s="4">
        <v>1</v>
      </c>
      <c r="I12" s="4">
        <v>5</v>
      </c>
      <c r="J12" s="4">
        <v>0</v>
      </c>
      <c r="K12" s="4">
        <v>4</v>
      </c>
      <c r="L12" s="4">
        <v>1</v>
      </c>
      <c r="M12" s="4">
        <v>10</v>
      </c>
      <c r="N12" s="4">
        <v>1</v>
      </c>
      <c r="O12" s="4">
        <v>7</v>
      </c>
    </row>
    <row r="13" spans="1:15">
      <c r="A13" s="4">
        <v>7</v>
      </c>
      <c r="B13" s="3" t="s">
        <v>27</v>
      </c>
      <c r="C13" s="3" t="s">
        <v>36</v>
      </c>
      <c r="D13" s="4" t="s">
        <v>30</v>
      </c>
      <c r="E13" s="4" t="s">
        <v>30</v>
      </c>
      <c r="F13" s="4">
        <v>0</v>
      </c>
      <c r="G13" s="4">
        <v>4</v>
      </c>
      <c r="H13" s="4">
        <v>1</v>
      </c>
      <c r="I13" s="4">
        <v>5</v>
      </c>
      <c r="J13" s="4">
        <v>1</v>
      </c>
      <c r="K13" s="4">
        <v>4</v>
      </c>
      <c r="L13" s="4">
        <v>0</v>
      </c>
      <c r="M13" s="4">
        <v>10</v>
      </c>
      <c r="N13" s="4">
        <v>0</v>
      </c>
      <c r="O13" s="4">
        <v>7</v>
      </c>
    </row>
    <row r="14" spans="1:15">
      <c r="A14" s="4">
        <v>8</v>
      </c>
      <c r="B14" s="3" t="s">
        <v>37</v>
      </c>
      <c r="C14" s="3" t="s">
        <v>38</v>
      </c>
      <c r="D14" s="4" t="s">
        <v>30</v>
      </c>
      <c r="E14" s="4" t="s">
        <v>30</v>
      </c>
      <c r="F14" s="4">
        <v>0</v>
      </c>
      <c r="G14" s="4">
        <v>4</v>
      </c>
      <c r="H14" s="4">
        <v>0</v>
      </c>
      <c r="I14" s="4">
        <v>5</v>
      </c>
      <c r="J14" s="4">
        <v>1</v>
      </c>
      <c r="K14" s="4">
        <v>4</v>
      </c>
      <c r="L14" s="4">
        <v>0</v>
      </c>
      <c r="M14" s="4">
        <v>10</v>
      </c>
      <c r="N14" s="4">
        <v>0</v>
      </c>
      <c r="O14" s="4">
        <v>7</v>
      </c>
    </row>
    <row r="15" spans="1:15">
      <c r="A15" s="4">
        <v>9</v>
      </c>
      <c r="B15" s="3" t="s">
        <v>37</v>
      </c>
      <c r="C15" s="3" t="s">
        <v>39</v>
      </c>
      <c r="D15" s="4" t="s">
        <v>30</v>
      </c>
      <c r="E15" s="4" t="s">
        <v>30</v>
      </c>
      <c r="F15" s="4">
        <v>1</v>
      </c>
      <c r="G15" s="4">
        <v>4</v>
      </c>
      <c r="H15" s="4">
        <v>1</v>
      </c>
      <c r="I15" s="4">
        <v>5</v>
      </c>
      <c r="J15" s="4">
        <v>0</v>
      </c>
      <c r="K15" s="4">
        <v>4</v>
      </c>
      <c r="L15" s="4">
        <v>1</v>
      </c>
      <c r="M15" s="4">
        <v>10</v>
      </c>
      <c r="N15" s="4">
        <v>0</v>
      </c>
      <c r="O15" s="4">
        <v>7</v>
      </c>
    </row>
    <row r="16" spans="1:15">
      <c r="A16" s="4">
        <v>10</v>
      </c>
      <c r="B16" s="3" t="s">
        <v>37</v>
      </c>
      <c r="C16" s="3" t="s">
        <v>40</v>
      </c>
      <c r="D16" s="4" t="s">
        <v>30</v>
      </c>
      <c r="E16" s="4" t="s">
        <v>30</v>
      </c>
      <c r="F16" s="4">
        <v>1</v>
      </c>
      <c r="G16" s="4">
        <v>4</v>
      </c>
      <c r="H16" s="4">
        <v>1</v>
      </c>
      <c r="I16" s="4">
        <v>5</v>
      </c>
      <c r="J16" s="4">
        <v>0</v>
      </c>
      <c r="K16" s="4">
        <v>4</v>
      </c>
      <c r="L16" s="4">
        <v>0</v>
      </c>
      <c r="M16" s="4">
        <v>10</v>
      </c>
      <c r="N16" s="4">
        <v>1</v>
      </c>
      <c r="O16" s="4">
        <v>7</v>
      </c>
    </row>
    <row r="17" spans="1:15">
      <c r="A17" s="4">
        <v>11</v>
      </c>
      <c r="B17" s="3" t="s">
        <v>37</v>
      </c>
      <c r="C17" s="3" t="s">
        <v>41</v>
      </c>
      <c r="D17" s="4" t="s">
        <v>29</v>
      </c>
      <c r="E17" s="4" t="s">
        <v>30</v>
      </c>
      <c r="F17" s="4">
        <v>1</v>
      </c>
      <c r="G17" s="4">
        <v>4</v>
      </c>
      <c r="H17" s="4">
        <v>1</v>
      </c>
      <c r="I17" s="4">
        <v>5</v>
      </c>
      <c r="J17" s="4">
        <v>1</v>
      </c>
      <c r="K17" s="4">
        <v>4</v>
      </c>
      <c r="L17" s="4">
        <v>1</v>
      </c>
      <c r="M17" s="4">
        <v>10</v>
      </c>
      <c r="N17" s="4">
        <v>0</v>
      </c>
      <c r="O17" s="4">
        <v>7</v>
      </c>
    </row>
    <row r="18" spans="1:15">
      <c r="A18" s="4">
        <v>12</v>
      </c>
      <c r="B18" s="3" t="s">
        <v>42</v>
      </c>
      <c r="C18" s="3" t="s">
        <v>43</v>
      </c>
      <c r="D18" s="4" t="s">
        <v>29</v>
      </c>
      <c r="E18" s="4" t="s">
        <v>30</v>
      </c>
      <c r="F18" s="4">
        <v>0</v>
      </c>
      <c r="G18" s="4">
        <v>4</v>
      </c>
      <c r="H18" s="4">
        <v>0</v>
      </c>
      <c r="I18" s="4">
        <v>5</v>
      </c>
      <c r="J18" s="4">
        <v>1</v>
      </c>
      <c r="K18" s="4">
        <v>4</v>
      </c>
      <c r="L18" s="4">
        <v>0</v>
      </c>
      <c r="M18" s="4">
        <v>10</v>
      </c>
      <c r="N18" s="4">
        <v>0</v>
      </c>
      <c r="O18" s="4">
        <v>7</v>
      </c>
    </row>
    <row r="19" spans="1:15">
      <c r="A19" s="4">
        <v>13</v>
      </c>
      <c r="B19" s="3" t="s">
        <v>42</v>
      </c>
      <c r="C19" s="3" t="s">
        <v>44</v>
      </c>
      <c r="D19" s="4" t="s">
        <v>29</v>
      </c>
      <c r="E19" s="4" t="s">
        <v>30</v>
      </c>
      <c r="F19" s="4">
        <v>0</v>
      </c>
      <c r="G19" s="4">
        <v>4</v>
      </c>
      <c r="H19" s="4">
        <v>0</v>
      </c>
      <c r="I19" s="4">
        <v>5</v>
      </c>
      <c r="J19" s="4">
        <v>1</v>
      </c>
      <c r="K19" s="4">
        <v>4</v>
      </c>
      <c r="L19" s="4">
        <v>0</v>
      </c>
      <c r="M19" s="4">
        <v>10</v>
      </c>
      <c r="N19" s="4">
        <v>0</v>
      </c>
      <c r="O19" s="4">
        <v>7</v>
      </c>
    </row>
    <row r="20" spans="1:15">
      <c r="A20" s="4">
        <v>14</v>
      </c>
      <c r="B20" s="3" t="s">
        <v>42</v>
      </c>
      <c r="C20" s="3" t="s">
        <v>45</v>
      </c>
      <c r="D20" s="4" t="s">
        <v>29</v>
      </c>
      <c r="E20" s="4" t="s">
        <v>30</v>
      </c>
      <c r="F20" s="4">
        <v>1</v>
      </c>
      <c r="G20" s="4">
        <v>4</v>
      </c>
      <c r="H20" s="4">
        <v>0</v>
      </c>
      <c r="I20" s="4">
        <v>5</v>
      </c>
      <c r="J20" s="4">
        <v>1</v>
      </c>
      <c r="K20" s="4">
        <v>4</v>
      </c>
      <c r="L20" s="4">
        <v>0</v>
      </c>
      <c r="M20" s="4">
        <v>10</v>
      </c>
      <c r="N20" s="4">
        <v>0</v>
      </c>
      <c r="O20" s="4">
        <v>7</v>
      </c>
    </row>
    <row r="21" spans="1:15">
      <c r="A21" s="4">
        <v>15</v>
      </c>
      <c r="B21" s="3" t="s">
        <v>42</v>
      </c>
      <c r="C21" s="3" t="s">
        <v>46</v>
      </c>
      <c r="D21" s="4" t="s">
        <v>29</v>
      </c>
      <c r="E21" s="4" t="s">
        <v>30</v>
      </c>
      <c r="F21" s="4">
        <v>1</v>
      </c>
      <c r="G21" s="4">
        <v>4</v>
      </c>
      <c r="H21" s="4">
        <v>0</v>
      </c>
      <c r="I21" s="4">
        <v>5</v>
      </c>
      <c r="J21" s="4">
        <v>1</v>
      </c>
      <c r="K21" s="4">
        <v>4</v>
      </c>
      <c r="L21" s="4">
        <v>0</v>
      </c>
      <c r="M21" s="4">
        <v>10</v>
      </c>
      <c r="N21" s="4">
        <v>0</v>
      </c>
      <c r="O21" s="4">
        <v>7</v>
      </c>
    </row>
    <row r="22" spans="1:15">
      <c r="A22" s="4">
        <v>16</v>
      </c>
      <c r="B22" s="3" t="s">
        <v>42</v>
      </c>
      <c r="C22" s="3" t="s">
        <v>47</v>
      </c>
      <c r="D22" s="4" t="s">
        <v>29</v>
      </c>
      <c r="E22" s="4" t="s">
        <v>30</v>
      </c>
      <c r="F22" s="4">
        <v>0</v>
      </c>
      <c r="G22" s="4">
        <v>4</v>
      </c>
      <c r="H22" s="4">
        <v>0</v>
      </c>
      <c r="I22" s="4">
        <v>5</v>
      </c>
      <c r="J22" s="4">
        <v>1</v>
      </c>
      <c r="K22" s="4">
        <v>4</v>
      </c>
      <c r="L22" s="4">
        <v>0</v>
      </c>
      <c r="M22" s="4">
        <v>10</v>
      </c>
      <c r="N22" s="4">
        <v>0</v>
      </c>
      <c r="O22" s="4">
        <v>7</v>
      </c>
    </row>
    <row r="23" spans="1:15">
      <c r="A23" s="4">
        <v>17</v>
      </c>
      <c r="B23" s="3" t="s">
        <v>42</v>
      </c>
      <c r="C23" s="3" t="s">
        <v>48</v>
      </c>
      <c r="D23" s="4" t="s">
        <v>29</v>
      </c>
      <c r="E23" s="4" t="s">
        <v>30</v>
      </c>
      <c r="F23" s="4">
        <v>0</v>
      </c>
      <c r="G23" s="4">
        <v>4</v>
      </c>
      <c r="H23" s="4">
        <v>0</v>
      </c>
      <c r="I23" s="4">
        <v>5</v>
      </c>
      <c r="J23" s="4">
        <v>1</v>
      </c>
      <c r="K23" s="4">
        <v>4</v>
      </c>
      <c r="L23" s="4">
        <v>0</v>
      </c>
      <c r="M23" s="4">
        <v>10</v>
      </c>
      <c r="N23" s="4">
        <v>0</v>
      </c>
      <c r="O23" s="4">
        <v>7</v>
      </c>
    </row>
    <row r="24" spans="1:15">
      <c r="A24" s="4">
        <v>18</v>
      </c>
      <c r="B24" s="3" t="s">
        <v>42</v>
      </c>
      <c r="C24" s="3" t="s">
        <v>49</v>
      </c>
      <c r="D24" s="4" t="s">
        <v>29</v>
      </c>
      <c r="E24" s="4" t="s">
        <v>30</v>
      </c>
      <c r="F24" s="4">
        <v>1</v>
      </c>
      <c r="G24" s="4">
        <v>4</v>
      </c>
      <c r="H24" s="4">
        <v>1</v>
      </c>
      <c r="I24" s="4">
        <v>5</v>
      </c>
      <c r="J24" s="4">
        <v>1</v>
      </c>
      <c r="K24" s="4">
        <v>4</v>
      </c>
      <c r="L24" s="4">
        <v>0</v>
      </c>
      <c r="M24" s="4">
        <v>10</v>
      </c>
      <c r="N24" s="4">
        <v>0</v>
      </c>
      <c r="O24" s="4">
        <v>7</v>
      </c>
    </row>
    <row r="25" spans="1:15">
      <c r="A25" s="4">
        <v>19</v>
      </c>
      <c r="B25" s="3" t="s">
        <v>50</v>
      </c>
      <c r="C25" s="3" t="s">
        <v>51</v>
      </c>
      <c r="D25" s="4" t="s">
        <v>29</v>
      </c>
      <c r="E25" s="4" t="s">
        <v>30</v>
      </c>
      <c r="F25" s="4">
        <v>1</v>
      </c>
      <c r="G25" s="4">
        <v>4</v>
      </c>
      <c r="H25" s="4">
        <v>1</v>
      </c>
      <c r="I25" s="4">
        <v>5</v>
      </c>
      <c r="J25" s="4">
        <v>0</v>
      </c>
      <c r="K25" s="4">
        <v>4</v>
      </c>
      <c r="L25" s="4">
        <v>1</v>
      </c>
      <c r="M25" s="4">
        <v>10</v>
      </c>
      <c r="N25" s="4">
        <v>0</v>
      </c>
      <c r="O25" s="4">
        <v>7</v>
      </c>
    </row>
    <row r="26" spans="1:15">
      <c r="A26" s="4">
        <v>20</v>
      </c>
      <c r="B26" s="3" t="s">
        <v>50</v>
      </c>
      <c r="C26" s="3" t="s">
        <v>52</v>
      </c>
      <c r="D26" s="4" t="s">
        <v>29</v>
      </c>
      <c r="E26" s="4" t="s">
        <v>30</v>
      </c>
      <c r="F26" s="4">
        <v>1</v>
      </c>
      <c r="G26" s="4">
        <v>4</v>
      </c>
      <c r="H26" s="4">
        <v>1</v>
      </c>
      <c r="I26" s="4">
        <v>5</v>
      </c>
      <c r="J26" s="4">
        <v>0</v>
      </c>
      <c r="K26" s="4">
        <v>4</v>
      </c>
      <c r="L26" s="4">
        <v>1</v>
      </c>
      <c r="M26" s="4">
        <v>10</v>
      </c>
      <c r="N26" s="4">
        <v>0</v>
      </c>
      <c r="O26" s="4">
        <v>7</v>
      </c>
    </row>
    <row r="27" spans="1:15">
      <c r="A27" s="4">
        <v>21</v>
      </c>
      <c r="B27" s="3" t="s">
        <v>50</v>
      </c>
      <c r="C27" s="3" t="s">
        <v>53</v>
      </c>
      <c r="D27" s="4" t="s">
        <v>29</v>
      </c>
      <c r="E27" s="4" t="s">
        <v>30</v>
      </c>
      <c r="F27" s="4">
        <v>1</v>
      </c>
      <c r="G27" s="4">
        <v>4</v>
      </c>
      <c r="H27" s="4">
        <v>1</v>
      </c>
      <c r="I27" s="4">
        <v>5</v>
      </c>
      <c r="J27" s="4">
        <v>0</v>
      </c>
      <c r="K27" s="4">
        <v>4</v>
      </c>
      <c r="L27" s="4">
        <v>1</v>
      </c>
      <c r="M27" s="4">
        <v>10</v>
      </c>
      <c r="N27" s="4">
        <v>0</v>
      </c>
      <c r="O27" s="4">
        <v>7</v>
      </c>
    </row>
    <row r="28" spans="1:15">
      <c r="A28" s="4">
        <v>22</v>
      </c>
      <c r="B28" s="3" t="s">
        <v>50</v>
      </c>
      <c r="C28" s="3" t="s">
        <v>54</v>
      </c>
      <c r="D28" s="4" t="s">
        <v>29</v>
      </c>
      <c r="E28" s="4" t="s">
        <v>30</v>
      </c>
      <c r="F28" s="4">
        <v>0</v>
      </c>
      <c r="G28" s="4">
        <v>4</v>
      </c>
      <c r="H28" s="4">
        <v>0</v>
      </c>
      <c r="I28" s="4">
        <v>5</v>
      </c>
      <c r="J28" s="4">
        <v>1</v>
      </c>
      <c r="K28" s="4">
        <v>4</v>
      </c>
      <c r="L28" s="4">
        <v>0</v>
      </c>
      <c r="M28" s="4">
        <v>10</v>
      </c>
      <c r="N28" s="4">
        <v>0</v>
      </c>
      <c r="O28" s="4">
        <v>7</v>
      </c>
    </row>
    <row r="29" spans="1:15">
      <c r="A29" s="4">
        <v>23</v>
      </c>
      <c r="B29" s="3" t="s">
        <v>50</v>
      </c>
      <c r="C29" s="3" t="s">
        <v>55</v>
      </c>
      <c r="D29" s="4" t="s">
        <v>29</v>
      </c>
      <c r="E29" s="4" t="s">
        <v>30</v>
      </c>
      <c r="F29" s="4">
        <v>1</v>
      </c>
      <c r="G29" s="4">
        <v>4</v>
      </c>
      <c r="H29" s="4">
        <v>1</v>
      </c>
      <c r="I29" s="4">
        <v>5</v>
      </c>
      <c r="J29" s="4">
        <v>1</v>
      </c>
      <c r="K29" s="4">
        <v>4</v>
      </c>
      <c r="L29" s="4">
        <v>0</v>
      </c>
      <c r="M29" s="4">
        <v>10</v>
      </c>
      <c r="N29" s="4">
        <v>0</v>
      </c>
      <c r="O29" s="4">
        <v>7</v>
      </c>
    </row>
    <row r="30" spans="1:15">
      <c r="A30" s="4">
        <v>24</v>
      </c>
      <c r="B30" s="3" t="s">
        <v>50</v>
      </c>
      <c r="C30" s="3" t="s">
        <v>56</v>
      </c>
      <c r="D30" s="4" t="s">
        <v>29</v>
      </c>
      <c r="E30" s="4" t="s">
        <v>30</v>
      </c>
      <c r="F30" s="4">
        <v>1</v>
      </c>
      <c r="G30" s="4">
        <v>4</v>
      </c>
      <c r="H30" s="4">
        <v>0</v>
      </c>
      <c r="I30" s="4">
        <v>5</v>
      </c>
      <c r="J30" s="4">
        <v>1</v>
      </c>
      <c r="K30" s="4">
        <v>4</v>
      </c>
      <c r="L30" s="4">
        <v>0</v>
      </c>
      <c r="M30" s="4">
        <v>10</v>
      </c>
      <c r="N30" s="4">
        <v>0</v>
      </c>
      <c r="O30" s="4">
        <v>7</v>
      </c>
    </row>
    <row r="31" spans="1:15">
      <c r="A31" s="4">
        <v>25</v>
      </c>
      <c r="B31" s="3" t="s">
        <v>50</v>
      </c>
      <c r="C31" s="3" t="s">
        <v>57</v>
      </c>
      <c r="D31" s="4" t="s">
        <v>29</v>
      </c>
      <c r="E31" s="4" t="s">
        <v>30</v>
      </c>
      <c r="F31" s="4">
        <v>1</v>
      </c>
      <c r="G31" s="4">
        <v>4</v>
      </c>
      <c r="H31" s="4">
        <v>0</v>
      </c>
      <c r="I31" s="4">
        <v>5</v>
      </c>
      <c r="J31" s="4">
        <v>1</v>
      </c>
      <c r="K31" s="4">
        <v>4</v>
      </c>
      <c r="L31" s="4">
        <v>0</v>
      </c>
      <c r="M31" s="4">
        <v>10</v>
      </c>
      <c r="N31" s="4">
        <v>0</v>
      </c>
      <c r="O31" s="4">
        <v>7</v>
      </c>
    </row>
    <row r="32" spans="1:15">
      <c r="A32" s="4">
        <v>26</v>
      </c>
      <c r="B32" s="3" t="s">
        <v>50</v>
      </c>
      <c r="C32" s="3" t="s">
        <v>58</v>
      </c>
      <c r="D32" s="4" t="s">
        <v>29</v>
      </c>
      <c r="E32" s="4" t="s">
        <v>30</v>
      </c>
      <c r="F32" s="4">
        <v>1</v>
      </c>
      <c r="G32" s="4">
        <v>4</v>
      </c>
      <c r="H32" s="4">
        <v>1</v>
      </c>
      <c r="I32" s="4">
        <v>5</v>
      </c>
      <c r="J32" s="4">
        <v>1</v>
      </c>
      <c r="K32" s="4">
        <v>4</v>
      </c>
      <c r="L32" s="4">
        <v>1</v>
      </c>
      <c r="M32" s="4">
        <v>10</v>
      </c>
      <c r="N32" s="4">
        <v>1</v>
      </c>
      <c r="O32" s="4">
        <v>7</v>
      </c>
    </row>
    <row r="33" spans="1:15">
      <c r="A33" s="4">
        <v>27</v>
      </c>
      <c r="B33" s="3" t="s">
        <v>59</v>
      </c>
      <c r="C33" s="3" t="s">
        <v>60</v>
      </c>
      <c r="D33" s="4" t="s">
        <v>29</v>
      </c>
      <c r="E33" s="4" t="s">
        <v>30</v>
      </c>
      <c r="F33" s="4">
        <v>1</v>
      </c>
      <c r="G33" s="4">
        <v>4</v>
      </c>
      <c r="H33" s="4">
        <v>1</v>
      </c>
      <c r="I33" s="4">
        <v>5</v>
      </c>
      <c r="J33" s="4">
        <v>0</v>
      </c>
      <c r="K33" s="4">
        <v>4</v>
      </c>
      <c r="L33" s="4">
        <v>1</v>
      </c>
      <c r="M33" s="4">
        <v>10</v>
      </c>
      <c r="N33" s="4">
        <v>1</v>
      </c>
      <c r="O33" s="4">
        <v>7</v>
      </c>
    </row>
    <row r="34" spans="1:15">
      <c r="A34" s="4">
        <v>28</v>
      </c>
      <c r="B34" s="3" t="s">
        <v>59</v>
      </c>
      <c r="C34" s="3" t="s">
        <v>61</v>
      </c>
      <c r="D34" s="4" t="s">
        <v>29</v>
      </c>
      <c r="E34" s="4" t="s">
        <v>29</v>
      </c>
      <c r="F34" s="4">
        <v>1</v>
      </c>
      <c r="G34" s="4">
        <v>4</v>
      </c>
      <c r="H34" s="4">
        <v>1</v>
      </c>
      <c r="I34" s="4">
        <v>5</v>
      </c>
      <c r="J34" s="4">
        <v>0</v>
      </c>
      <c r="K34" s="4">
        <v>4</v>
      </c>
      <c r="L34" s="4">
        <v>1</v>
      </c>
      <c r="M34" s="4">
        <v>10</v>
      </c>
      <c r="N34" s="4">
        <v>1</v>
      </c>
      <c r="O34" s="4">
        <v>7</v>
      </c>
    </row>
    <row r="35" spans="1:15">
      <c r="A35" s="4">
        <v>29</v>
      </c>
      <c r="B35" s="3" t="s">
        <v>59</v>
      </c>
      <c r="C35" s="3" t="s">
        <v>62</v>
      </c>
      <c r="D35" s="4" t="s">
        <v>29</v>
      </c>
      <c r="E35" s="4" t="s">
        <v>30</v>
      </c>
      <c r="F35" s="4">
        <v>0</v>
      </c>
      <c r="G35" s="4">
        <v>4</v>
      </c>
      <c r="H35" s="4">
        <v>1</v>
      </c>
      <c r="I35" s="4">
        <v>5</v>
      </c>
      <c r="J35" s="4">
        <v>1</v>
      </c>
      <c r="K35" s="4">
        <v>4</v>
      </c>
      <c r="L35" s="4">
        <v>1</v>
      </c>
      <c r="M35" s="4">
        <v>10</v>
      </c>
      <c r="N35" s="4">
        <v>1</v>
      </c>
      <c r="O35" s="4">
        <v>7</v>
      </c>
    </row>
    <row r="36" spans="1:15">
      <c r="A36" s="4">
        <v>30</v>
      </c>
      <c r="B36" s="3" t="s">
        <v>59</v>
      </c>
      <c r="C36" s="3" t="s">
        <v>63</v>
      </c>
      <c r="D36" s="4" t="s">
        <v>29</v>
      </c>
      <c r="E36" s="4" t="s">
        <v>29</v>
      </c>
      <c r="F36" s="4">
        <v>0</v>
      </c>
      <c r="G36" s="4">
        <v>4</v>
      </c>
      <c r="H36" s="4">
        <v>1</v>
      </c>
      <c r="I36" s="4">
        <v>5</v>
      </c>
      <c r="J36" s="4">
        <v>0</v>
      </c>
      <c r="K36" s="4">
        <v>4</v>
      </c>
      <c r="L36" s="4">
        <v>1</v>
      </c>
      <c r="M36" s="4">
        <v>10</v>
      </c>
      <c r="N36" s="4">
        <v>0</v>
      </c>
      <c r="O36" s="4">
        <v>7</v>
      </c>
    </row>
    <row r="37" spans="1:15">
      <c r="A37" s="4">
        <v>31</v>
      </c>
      <c r="B37" s="3" t="s">
        <v>59</v>
      </c>
      <c r="C37" s="3" t="s">
        <v>64</v>
      </c>
      <c r="D37" s="4" t="s">
        <v>30</v>
      </c>
      <c r="E37" s="4" t="s">
        <v>29</v>
      </c>
      <c r="F37" s="4">
        <v>1</v>
      </c>
      <c r="G37" s="4">
        <v>4</v>
      </c>
      <c r="H37" s="4">
        <v>1</v>
      </c>
      <c r="I37" s="4">
        <v>5</v>
      </c>
      <c r="J37" s="4">
        <v>0</v>
      </c>
      <c r="K37" s="4">
        <v>4</v>
      </c>
      <c r="L37" s="4">
        <v>1</v>
      </c>
      <c r="M37" s="4">
        <v>10</v>
      </c>
      <c r="N37" s="4">
        <v>1</v>
      </c>
      <c r="O37" s="4">
        <v>7</v>
      </c>
    </row>
    <row r="38" spans="1:15">
      <c r="A38" s="4">
        <v>32</v>
      </c>
      <c r="B38" s="3" t="s">
        <v>59</v>
      </c>
      <c r="C38" s="3" t="s">
        <v>65</v>
      </c>
      <c r="D38" s="4" t="s">
        <v>30</v>
      </c>
      <c r="E38" s="4" t="s">
        <v>30</v>
      </c>
      <c r="F38" s="4">
        <v>0</v>
      </c>
      <c r="G38" s="4">
        <v>4</v>
      </c>
      <c r="H38" s="4">
        <v>0</v>
      </c>
      <c r="I38" s="4">
        <v>5</v>
      </c>
      <c r="J38" s="4">
        <v>1</v>
      </c>
      <c r="K38" s="4">
        <v>4</v>
      </c>
      <c r="L38" s="4">
        <v>0</v>
      </c>
      <c r="M38" s="4">
        <v>10</v>
      </c>
      <c r="N38" s="4">
        <v>0</v>
      </c>
      <c r="O38" s="4">
        <v>7</v>
      </c>
    </row>
    <row r="39" spans="1:15">
      <c r="A39" s="4">
        <v>33</v>
      </c>
      <c r="B39" s="3" t="s">
        <v>66</v>
      </c>
      <c r="C39" s="3" t="s">
        <v>67</v>
      </c>
      <c r="D39" s="4" t="s">
        <v>29</v>
      </c>
      <c r="E39" s="4" t="s">
        <v>30</v>
      </c>
      <c r="F39" s="4">
        <v>0</v>
      </c>
      <c r="G39" s="4">
        <v>4</v>
      </c>
      <c r="H39" s="4">
        <v>0</v>
      </c>
      <c r="I39" s="4">
        <v>5</v>
      </c>
      <c r="J39" s="4">
        <v>1</v>
      </c>
      <c r="K39" s="4">
        <v>4</v>
      </c>
      <c r="L39" s="4">
        <v>0</v>
      </c>
      <c r="M39" s="4">
        <v>10</v>
      </c>
      <c r="N39" s="4">
        <v>0</v>
      </c>
      <c r="O39" s="4">
        <v>7</v>
      </c>
    </row>
    <row r="40" spans="1:15">
      <c r="A40" s="4">
        <v>34</v>
      </c>
      <c r="B40" s="3" t="s">
        <v>66</v>
      </c>
      <c r="C40" s="3" t="s">
        <v>68</v>
      </c>
      <c r="D40" s="4" t="s">
        <v>29</v>
      </c>
      <c r="E40" s="4" t="s">
        <v>30</v>
      </c>
      <c r="F40" s="4">
        <v>0</v>
      </c>
      <c r="G40" s="4">
        <v>4</v>
      </c>
      <c r="H40" s="4">
        <v>0</v>
      </c>
      <c r="I40" s="4">
        <v>5</v>
      </c>
      <c r="J40" s="4">
        <v>1</v>
      </c>
      <c r="K40" s="4">
        <v>4</v>
      </c>
      <c r="L40" s="4">
        <v>0</v>
      </c>
      <c r="M40" s="4">
        <v>10</v>
      </c>
      <c r="N40" s="4">
        <v>0</v>
      </c>
      <c r="O40" s="4">
        <v>7</v>
      </c>
    </row>
    <row r="41" spans="1:15">
      <c r="A41" s="4">
        <v>35</v>
      </c>
      <c r="B41" s="3" t="s">
        <v>66</v>
      </c>
      <c r="C41" s="3" t="s">
        <v>69</v>
      </c>
      <c r="D41" s="4" t="s">
        <v>29</v>
      </c>
      <c r="E41" s="4" t="s">
        <v>30</v>
      </c>
      <c r="F41" s="4">
        <v>0</v>
      </c>
      <c r="G41" s="4">
        <v>4</v>
      </c>
      <c r="H41" s="4">
        <v>1</v>
      </c>
      <c r="I41" s="4">
        <v>5</v>
      </c>
      <c r="J41" s="4">
        <v>1</v>
      </c>
      <c r="K41" s="4">
        <v>4</v>
      </c>
      <c r="L41" s="4">
        <v>0</v>
      </c>
      <c r="M41" s="4">
        <v>10</v>
      </c>
      <c r="N41" s="4">
        <v>1</v>
      </c>
      <c r="O41" s="4">
        <v>7</v>
      </c>
    </row>
    <row r="42" spans="1:15">
      <c r="A42" s="4">
        <v>36</v>
      </c>
      <c r="B42" s="3" t="s">
        <v>66</v>
      </c>
      <c r="C42" s="3" t="s">
        <v>70</v>
      </c>
      <c r="D42" s="4" t="s">
        <v>29</v>
      </c>
      <c r="E42" s="4" t="s">
        <v>30</v>
      </c>
      <c r="F42" s="4">
        <v>1</v>
      </c>
      <c r="G42" s="4">
        <v>4</v>
      </c>
      <c r="H42" s="4">
        <v>1</v>
      </c>
      <c r="I42" s="4">
        <v>5</v>
      </c>
      <c r="J42" s="4">
        <v>0</v>
      </c>
      <c r="K42" s="4">
        <v>4</v>
      </c>
      <c r="L42" s="4">
        <v>1</v>
      </c>
      <c r="M42" s="4">
        <v>10</v>
      </c>
      <c r="N42" s="4">
        <v>0</v>
      </c>
      <c r="O42" s="4">
        <v>7</v>
      </c>
    </row>
    <row r="43" spans="1:15">
      <c r="A43" s="4">
        <v>37</v>
      </c>
      <c r="B43" s="3" t="s">
        <v>66</v>
      </c>
      <c r="C43" s="3" t="s">
        <v>71</v>
      </c>
      <c r="D43" s="4" t="s">
        <v>29</v>
      </c>
      <c r="E43" s="4" t="s">
        <v>30</v>
      </c>
      <c r="F43" s="4">
        <v>1</v>
      </c>
      <c r="G43" s="4">
        <v>4</v>
      </c>
      <c r="H43" s="4">
        <v>1</v>
      </c>
      <c r="I43" s="4">
        <v>5</v>
      </c>
      <c r="J43" s="4">
        <v>1</v>
      </c>
      <c r="K43" s="4">
        <v>4</v>
      </c>
      <c r="L43" s="4">
        <v>1</v>
      </c>
      <c r="M43" s="4">
        <v>10</v>
      </c>
      <c r="N43" s="4">
        <v>0</v>
      </c>
      <c r="O43" s="4">
        <v>7</v>
      </c>
    </row>
    <row r="44" spans="1:15">
      <c r="A44" s="4">
        <v>38</v>
      </c>
      <c r="B44" s="3" t="s">
        <v>72</v>
      </c>
      <c r="C44" s="3" t="s">
        <v>73</v>
      </c>
      <c r="D44" s="4" t="s">
        <v>30</v>
      </c>
      <c r="E44" s="4" t="s">
        <v>30</v>
      </c>
      <c r="F44" s="4">
        <v>0</v>
      </c>
      <c r="G44" s="4">
        <v>4</v>
      </c>
      <c r="H44" s="4">
        <v>1</v>
      </c>
      <c r="I44" s="4">
        <v>5</v>
      </c>
      <c r="J44" s="4">
        <v>0</v>
      </c>
      <c r="K44" s="4">
        <v>4</v>
      </c>
      <c r="L44" s="4">
        <v>1</v>
      </c>
      <c r="M44" s="4">
        <v>10</v>
      </c>
      <c r="N44" s="4">
        <v>0</v>
      </c>
      <c r="O44" s="4">
        <v>7</v>
      </c>
    </row>
    <row r="45" spans="1:15">
      <c r="A45" s="4">
        <v>39</v>
      </c>
      <c r="B45" s="3" t="s">
        <v>72</v>
      </c>
      <c r="C45" s="3" t="s">
        <v>74</v>
      </c>
      <c r="D45" s="4" t="s">
        <v>29</v>
      </c>
      <c r="E45" s="4" t="s">
        <v>30</v>
      </c>
      <c r="F45" s="4">
        <v>0</v>
      </c>
      <c r="G45" s="4">
        <v>4</v>
      </c>
      <c r="H45" s="4">
        <v>1</v>
      </c>
      <c r="I45" s="4">
        <v>5</v>
      </c>
      <c r="J45" s="4">
        <v>0</v>
      </c>
      <c r="K45" s="4">
        <v>4</v>
      </c>
      <c r="L45" s="4">
        <v>0</v>
      </c>
      <c r="M45" s="4">
        <v>10</v>
      </c>
      <c r="N45" s="4">
        <v>1</v>
      </c>
      <c r="O45" s="4">
        <v>7</v>
      </c>
    </row>
    <row r="46" spans="1:15">
      <c r="A46" s="4">
        <v>40</v>
      </c>
      <c r="B46" s="3" t="s">
        <v>72</v>
      </c>
      <c r="C46" s="3" t="s">
        <v>75</v>
      </c>
      <c r="D46" s="4" t="s">
        <v>30</v>
      </c>
      <c r="E46" s="4" t="s">
        <v>30</v>
      </c>
      <c r="F46" s="4">
        <v>0</v>
      </c>
      <c r="G46" s="4">
        <v>4</v>
      </c>
      <c r="H46" s="4">
        <v>1</v>
      </c>
      <c r="I46" s="4">
        <v>5</v>
      </c>
      <c r="J46" s="4">
        <v>0</v>
      </c>
      <c r="K46" s="4">
        <v>4</v>
      </c>
      <c r="L46" s="4">
        <v>0</v>
      </c>
      <c r="M46" s="4">
        <v>10</v>
      </c>
      <c r="N46" s="4">
        <v>1</v>
      </c>
      <c r="O46" s="4">
        <v>7</v>
      </c>
    </row>
    <row r="47" spans="1:15">
      <c r="A47" s="4">
        <v>41</v>
      </c>
      <c r="B47" s="3" t="s">
        <v>72</v>
      </c>
      <c r="C47" s="3" t="s">
        <v>76</v>
      </c>
      <c r="D47" s="4" t="s">
        <v>30</v>
      </c>
      <c r="E47" s="4" t="s">
        <v>30</v>
      </c>
      <c r="F47" s="4">
        <v>0</v>
      </c>
      <c r="G47" s="4">
        <v>4</v>
      </c>
      <c r="H47" s="4">
        <v>0</v>
      </c>
      <c r="I47" s="4">
        <v>5</v>
      </c>
      <c r="J47" s="4">
        <v>1</v>
      </c>
      <c r="K47" s="4">
        <v>4</v>
      </c>
      <c r="L47" s="4">
        <v>0</v>
      </c>
      <c r="M47" s="4">
        <v>10</v>
      </c>
      <c r="N47" s="4">
        <v>0</v>
      </c>
      <c r="O47" s="4">
        <v>7</v>
      </c>
    </row>
    <row r="48" spans="1:15">
      <c r="A48" s="4">
        <v>42</v>
      </c>
      <c r="B48" s="3" t="s">
        <v>72</v>
      </c>
      <c r="C48" s="3" t="s">
        <v>77</v>
      </c>
      <c r="D48" s="4" t="s">
        <v>30</v>
      </c>
      <c r="E48" s="4" t="s">
        <v>30</v>
      </c>
      <c r="F48" s="4">
        <v>1</v>
      </c>
      <c r="G48" s="4">
        <v>4</v>
      </c>
      <c r="H48" s="4">
        <v>1</v>
      </c>
      <c r="I48" s="4">
        <v>5</v>
      </c>
      <c r="J48" s="4">
        <v>1</v>
      </c>
      <c r="K48" s="4">
        <v>4</v>
      </c>
      <c r="L48" s="4">
        <v>1</v>
      </c>
      <c r="M48" s="4">
        <v>10</v>
      </c>
      <c r="N48" s="4">
        <v>0</v>
      </c>
      <c r="O48" s="4">
        <v>7</v>
      </c>
    </row>
    <row r="49" spans="1:15">
      <c r="A49" s="4">
        <v>43</v>
      </c>
      <c r="B49" s="3" t="s">
        <v>72</v>
      </c>
      <c r="C49" s="3" t="s">
        <v>78</v>
      </c>
      <c r="D49" s="4" t="s">
        <v>29</v>
      </c>
      <c r="E49" s="4" t="s">
        <v>30</v>
      </c>
      <c r="F49" s="4">
        <v>1</v>
      </c>
      <c r="G49" s="4">
        <v>4</v>
      </c>
      <c r="H49" s="4">
        <v>1</v>
      </c>
      <c r="I49" s="4">
        <v>5</v>
      </c>
      <c r="J49" s="4">
        <v>0</v>
      </c>
      <c r="K49" s="4">
        <v>4</v>
      </c>
      <c r="L49" s="4">
        <v>1</v>
      </c>
      <c r="M49" s="4">
        <v>10</v>
      </c>
      <c r="N49" s="4">
        <v>1</v>
      </c>
      <c r="O49" s="4">
        <v>7</v>
      </c>
    </row>
    <row r="50" spans="1:15">
      <c r="A50" s="4">
        <v>44</v>
      </c>
      <c r="B50" s="3" t="s">
        <v>79</v>
      </c>
      <c r="C50" s="3" t="s">
        <v>80</v>
      </c>
      <c r="D50" s="4" t="s">
        <v>30</v>
      </c>
      <c r="E50" s="4" t="s">
        <v>29</v>
      </c>
      <c r="F50" s="4">
        <v>1</v>
      </c>
      <c r="G50" s="4">
        <v>4</v>
      </c>
      <c r="H50" s="4">
        <v>1</v>
      </c>
      <c r="I50" s="4">
        <v>5</v>
      </c>
      <c r="J50" s="4">
        <v>1</v>
      </c>
      <c r="K50" s="4">
        <v>4</v>
      </c>
      <c r="L50" s="4">
        <v>1</v>
      </c>
      <c r="M50" s="4">
        <v>10</v>
      </c>
      <c r="N50" s="4">
        <v>0</v>
      </c>
      <c r="O50" s="4">
        <v>7</v>
      </c>
    </row>
    <row r="51" spans="1:15">
      <c r="A51" s="4">
        <v>45</v>
      </c>
      <c r="B51" s="3" t="s">
        <v>79</v>
      </c>
      <c r="C51" s="3" t="s">
        <v>81</v>
      </c>
      <c r="D51" s="4" t="s">
        <v>30</v>
      </c>
      <c r="E51" s="4" t="s">
        <v>29</v>
      </c>
      <c r="F51" s="4">
        <v>1</v>
      </c>
      <c r="G51" s="4">
        <v>4</v>
      </c>
      <c r="H51" s="4">
        <v>1</v>
      </c>
      <c r="I51" s="4">
        <v>5</v>
      </c>
      <c r="J51" s="4">
        <v>1</v>
      </c>
      <c r="K51" s="4">
        <v>4</v>
      </c>
      <c r="L51" s="4">
        <v>1</v>
      </c>
      <c r="M51" s="4">
        <v>10</v>
      </c>
      <c r="N51" s="4">
        <v>0</v>
      </c>
      <c r="O51" s="4">
        <v>7</v>
      </c>
    </row>
    <row r="52" spans="1:15">
      <c r="A52" s="4">
        <v>46</v>
      </c>
      <c r="B52" s="3" t="s">
        <v>79</v>
      </c>
      <c r="C52" s="3" t="s">
        <v>82</v>
      </c>
      <c r="D52" s="4" t="s">
        <v>30</v>
      </c>
      <c r="E52" s="4" t="s">
        <v>29</v>
      </c>
      <c r="F52" s="4">
        <v>1</v>
      </c>
      <c r="G52" s="4">
        <v>4</v>
      </c>
      <c r="H52" s="4">
        <v>1</v>
      </c>
      <c r="I52" s="4">
        <v>5</v>
      </c>
      <c r="J52" s="4">
        <v>0</v>
      </c>
      <c r="K52" s="4">
        <v>4</v>
      </c>
      <c r="L52" s="4">
        <v>1</v>
      </c>
      <c r="M52" s="4">
        <v>10</v>
      </c>
      <c r="N52" s="4">
        <v>1</v>
      </c>
      <c r="O52" s="4">
        <v>7</v>
      </c>
    </row>
    <row r="53" spans="1:15">
      <c r="A53" s="4">
        <v>47</v>
      </c>
      <c r="B53" s="3" t="s">
        <v>79</v>
      </c>
      <c r="C53" s="3" t="s">
        <v>83</v>
      </c>
      <c r="D53" s="4" t="s">
        <v>30</v>
      </c>
      <c r="E53" s="4" t="s">
        <v>29</v>
      </c>
      <c r="F53" s="4">
        <v>1</v>
      </c>
      <c r="G53" s="4">
        <v>4</v>
      </c>
      <c r="H53" s="4">
        <v>1</v>
      </c>
      <c r="I53" s="4">
        <v>5</v>
      </c>
      <c r="J53" s="4">
        <v>0</v>
      </c>
      <c r="K53" s="4">
        <v>4</v>
      </c>
      <c r="L53" s="4">
        <v>1</v>
      </c>
      <c r="M53" s="4">
        <v>10</v>
      </c>
      <c r="N53" s="4">
        <v>1</v>
      </c>
      <c r="O53" s="4">
        <v>7</v>
      </c>
    </row>
    <row r="54" spans="1:15">
      <c r="A54" s="4">
        <v>48</v>
      </c>
      <c r="B54" s="3" t="s">
        <v>79</v>
      </c>
      <c r="C54" s="3" t="s">
        <v>84</v>
      </c>
      <c r="D54" s="4" t="s">
        <v>30</v>
      </c>
      <c r="E54" s="4" t="s">
        <v>29</v>
      </c>
      <c r="F54" s="4">
        <v>1</v>
      </c>
      <c r="G54" s="4">
        <v>4</v>
      </c>
      <c r="H54" s="4">
        <v>1</v>
      </c>
      <c r="I54" s="4">
        <v>5</v>
      </c>
      <c r="J54" s="4">
        <v>0</v>
      </c>
      <c r="K54" s="4">
        <v>4</v>
      </c>
      <c r="L54" s="4">
        <v>1</v>
      </c>
      <c r="M54" s="4">
        <v>10</v>
      </c>
      <c r="N54" s="4">
        <v>0</v>
      </c>
      <c r="O54" s="4">
        <v>7</v>
      </c>
    </row>
    <row r="55" spans="1:15">
      <c r="A55" s="4">
        <v>49</v>
      </c>
      <c r="B55" s="3" t="s">
        <v>79</v>
      </c>
      <c r="C55" s="3" t="s">
        <v>85</v>
      </c>
      <c r="D55" s="4" t="s">
        <v>30</v>
      </c>
      <c r="E55" s="4" t="s">
        <v>29</v>
      </c>
      <c r="F55" s="4">
        <v>1</v>
      </c>
      <c r="G55" s="4">
        <v>4</v>
      </c>
      <c r="H55" s="4">
        <v>1</v>
      </c>
      <c r="I55" s="4">
        <v>5</v>
      </c>
      <c r="J55" s="4">
        <v>1</v>
      </c>
      <c r="K55" s="4">
        <v>4</v>
      </c>
      <c r="L55" s="4">
        <v>1</v>
      </c>
      <c r="M55" s="4">
        <v>10</v>
      </c>
      <c r="N55" s="4">
        <v>0</v>
      </c>
      <c r="O55" s="4">
        <v>7</v>
      </c>
    </row>
    <row r="56" spans="1:15">
      <c r="A56" s="4">
        <v>50</v>
      </c>
      <c r="B56" s="3" t="s">
        <v>79</v>
      </c>
      <c r="C56" s="3" t="s">
        <v>86</v>
      </c>
      <c r="D56" s="4" t="s">
        <v>30</v>
      </c>
      <c r="E56" s="4" t="s">
        <v>29</v>
      </c>
      <c r="F56" s="4">
        <v>1</v>
      </c>
      <c r="G56" s="4">
        <v>4</v>
      </c>
      <c r="H56" s="4">
        <v>1</v>
      </c>
      <c r="I56" s="4">
        <v>5</v>
      </c>
      <c r="J56" s="4">
        <v>1</v>
      </c>
      <c r="K56" s="4">
        <v>4</v>
      </c>
      <c r="L56" s="4">
        <v>1</v>
      </c>
      <c r="M56" s="4">
        <v>10</v>
      </c>
      <c r="N56" s="4">
        <v>0</v>
      </c>
      <c r="O56" s="4">
        <v>7</v>
      </c>
    </row>
    <row r="57" spans="1:15">
      <c r="A57" s="4">
        <v>51</v>
      </c>
      <c r="B57" s="3" t="s">
        <v>79</v>
      </c>
      <c r="C57" s="3" t="s">
        <v>87</v>
      </c>
      <c r="D57" s="4" t="s">
        <v>30</v>
      </c>
      <c r="E57" s="4" t="s">
        <v>29</v>
      </c>
      <c r="F57" s="4">
        <v>1</v>
      </c>
      <c r="G57" s="4">
        <v>4</v>
      </c>
      <c r="H57" s="4">
        <v>1</v>
      </c>
      <c r="I57" s="4">
        <v>5</v>
      </c>
      <c r="J57" s="4">
        <v>1</v>
      </c>
      <c r="K57" s="4">
        <v>4</v>
      </c>
      <c r="L57" s="4">
        <v>1</v>
      </c>
      <c r="M57" s="4">
        <v>10</v>
      </c>
      <c r="N57" s="4">
        <v>0</v>
      </c>
      <c r="O57" s="4">
        <v>7</v>
      </c>
    </row>
    <row r="58" spans="1:15">
      <c r="A58" s="4">
        <v>52</v>
      </c>
      <c r="B58" s="3" t="s">
        <v>79</v>
      </c>
      <c r="C58" s="3" t="s">
        <v>88</v>
      </c>
      <c r="D58" s="4" t="s">
        <v>30</v>
      </c>
      <c r="E58" s="4" t="s">
        <v>29</v>
      </c>
      <c r="F58" s="4">
        <v>0</v>
      </c>
      <c r="G58" s="4">
        <v>4</v>
      </c>
      <c r="H58" s="4">
        <v>1</v>
      </c>
      <c r="I58" s="4">
        <v>5</v>
      </c>
      <c r="J58" s="4">
        <v>1</v>
      </c>
      <c r="K58" s="4">
        <v>4</v>
      </c>
      <c r="L58" s="4">
        <v>0</v>
      </c>
      <c r="M58" s="4">
        <v>10</v>
      </c>
      <c r="N58" s="4">
        <v>1</v>
      </c>
      <c r="O58" s="4">
        <v>7</v>
      </c>
    </row>
    <row r="59" spans="1:15">
      <c r="A59" s="4">
        <v>53</v>
      </c>
      <c r="B59" s="3" t="s">
        <v>79</v>
      </c>
      <c r="C59" s="3" t="s">
        <v>89</v>
      </c>
      <c r="D59" s="4" t="s">
        <v>30</v>
      </c>
      <c r="E59" s="4" t="s">
        <v>29</v>
      </c>
      <c r="F59" s="4">
        <v>1</v>
      </c>
      <c r="G59" s="4">
        <v>4</v>
      </c>
      <c r="H59" s="4">
        <v>1</v>
      </c>
      <c r="I59" s="4">
        <v>5</v>
      </c>
      <c r="J59" s="4">
        <v>0</v>
      </c>
      <c r="K59" s="4">
        <v>4</v>
      </c>
      <c r="L59" s="4">
        <v>1</v>
      </c>
      <c r="M59" s="4">
        <v>10</v>
      </c>
      <c r="N59" s="4">
        <v>0</v>
      </c>
      <c r="O59" s="4">
        <v>7</v>
      </c>
    </row>
    <row r="60" spans="1:15">
      <c r="A60" s="4">
        <v>54</v>
      </c>
      <c r="B60" s="3" t="s">
        <v>79</v>
      </c>
      <c r="C60" s="3" t="s">
        <v>90</v>
      </c>
      <c r="D60" s="4" t="s">
        <v>30</v>
      </c>
      <c r="E60" s="4" t="s">
        <v>29</v>
      </c>
      <c r="F60" s="4">
        <v>1</v>
      </c>
      <c r="G60" s="4">
        <v>4</v>
      </c>
      <c r="H60" s="4">
        <v>1</v>
      </c>
      <c r="I60" s="4">
        <v>5</v>
      </c>
      <c r="J60" s="4">
        <v>0</v>
      </c>
      <c r="K60" s="4">
        <v>4</v>
      </c>
      <c r="L60" s="4">
        <v>1</v>
      </c>
      <c r="M60" s="4">
        <v>10</v>
      </c>
      <c r="N60" s="4">
        <v>0</v>
      </c>
      <c r="O60" s="4">
        <v>7</v>
      </c>
    </row>
    <row r="61" spans="1:15">
      <c r="A61" s="4">
        <v>55</v>
      </c>
      <c r="B61" s="3" t="s">
        <v>79</v>
      </c>
      <c r="C61" s="3" t="s">
        <v>91</v>
      </c>
      <c r="D61" s="4" t="s">
        <v>30</v>
      </c>
      <c r="E61" s="4" t="s">
        <v>29</v>
      </c>
      <c r="F61" s="4">
        <v>1</v>
      </c>
      <c r="G61" s="4">
        <v>4</v>
      </c>
      <c r="H61" s="4">
        <v>1</v>
      </c>
      <c r="I61" s="4">
        <v>5</v>
      </c>
      <c r="J61" s="4">
        <v>1</v>
      </c>
      <c r="K61" s="4">
        <v>4</v>
      </c>
      <c r="L61" s="4">
        <v>1</v>
      </c>
      <c r="M61" s="4">
        <v>10</v>
      </c>
      <c r="N61" s="4">
        <v>0</v>
      </c>
      <c r="O61" s="4">
        <v>7</v>
      </c>
    </row>
    <row r="62" spans="1:15">
      <c r="A62" s="4">
        <v>56</v>
      </c>
      <c r="B62" s="3" t="s">
        <v>79</v>
      </c>
      <c r="C62" s="3" t="s">
        <v>92</v>
      </c>
      <c r="D62" s="4" t="s">
        <v>30</v>
      </c>
      <c r="E62" s="4" t="s">
        <v>29</v>
      </c>
      <c r="F62" s="4">
        <v>0</v>
      </c>
      <c r="G62" s="4">
        <v>4</v>
      </c>
      <c r="H62" s="4">
        <v>1</v>
      </c>
      <c r="I62" s="4">
        <v>5</v>
      </c>
      <c r="J62" s="4">
        <v>1</v>
      </c>
      <c r="K62" s="4">
        <v>4</v>
      </c>
      <c r="L62" s="4">
        <v>0</v>
      </c>
      <c r="M62" s="4">
        <v>10</v>
      </c>
      <c r="N62" s="4">
        <v>0</v>
      </c>
      <c r="O62" s="4">
        <v>7</v>
      </c>
    </row>
    <row r="63" spans="1:15">
      <c r="A63" s="4">
        <v>57</v>
      </c>
      <c r="B63" s="3" t="s">
        <v>93</v>
      </c>
      <c r="C63" s="3" t="s">
        <v>94</v>
      </c>
      <c r="D63" s="4" t="s">
        <v>29</v>
      </c>
      <c r="E63" s="4" t="s">
        <v>30</v>
      </c>
      <c r="F63" s="4">
        <v>0</v>
      </c>
      <c r="G63" s="4">
        <v>4</v>
      </c>
      <c r="H63" s="4">
        <v>0</v>
      </c>
      <c r="I63" s="4">
        <v>5</v>
      </c>
      <c r="J63" s="4">
        <v>1</v>
      </c>
      <c r="K63" s="4">
        <v>4</v>
      </c>
      <c r="L63" s="4">
        <v>0</v>
      </c>
      <c r="M63" s="4">
        <v>10</v>
      </c>
      <c r="N63" s="4">
        <v>0</v>
      </c>
      <c r="O63" s="4">
        <v>7</v>
      </c>
    </row>
    <row r="64" spans="1:15">
      <c r="A64" s="4">
        <v>58</v>
      </c>
      <c r="B64" s="3" t="s">
        <v>93</v>
      </c>
      <c r="C64" s="3" t="s">
        <v>95</v>
      </c>
      <c r="D64" s="4" t="s">
        <v>29</v>
      </c>
      <c r="E64" s="4" t="s">
        <v>30</v>
      </c>
      <c r="F64" s="4">
        <v>1</v>
      </c>
      <c r="G64" s="4">
        <v>4</v>
      </c>
      <c r="H64" s="4">
        <v>1</v>
      </c>
      <c r="I64" s="4">
        <v>5</v>
      </c>
      <c r="J64" s="4">
        <v>0</v>
      </c>
      <c r="K64" s="4">
        <v>4</v>
      </c>
      <c r="L64" s="4">
        <v>1</v>
      </c>
      <c r="M64" s="4">
        <v>10</v>
      </c>
      <c r="N64" s="4">
        <v>0</v>
      </c>
      <c r="O64" s="4">
        <v>7</v>
      </c>
    </row>
    <row r="65" spans="1:15">
      <c r="A65" s="4">
        <v>59</v>
      </c>
      <c r="B65" s="3" t="s">
        <v>93</v>
      </c>
      <c r="C65" s="3" t="s">
        <v>96</v>
      </c>
      <c r="D65" s="4" t="s">
        <v>29</v>
      </c>
      <c r="E65" s="4" t="s">
        <v>30</v>
      </c>
      <c r="F65" s="4">
        <v>1</v>
      </c>
      <c r="G65" s="4">
        <v>4</v>
      </c>
      <c r="H65" s="4">
        <v>1</v>
      </c>
      <c r="I65" s="4">
        <v>5</v>
      </c>
      <c r="J65" s="4">
        <v>0</v>
      </c>
      <c r="K65" s="4">
        <v>4</v>
      </c>
      <c r="L65" s="4">
        <v>1</v>
      </c>
      <c r="M65" s="4">
        <v>10</v>
      </c>
      <c r="N65" s="4">
        <v>1</v>
      </c>
      <c r="O65" s="4">
        <v>7</v>
      </c>
    </row>
    <row r="66" spans="1:15">
      <c r="A66" s="4">
        <v>60</v>
      </c>
      <c r="B66" s="3" t="s">
        <v>93</v>
      </c>
      <c r="C66" s="3" t="s">
        <v>97</v>
      </c>
      <c r="D66" s="4" t="s">
        <v>29</v>
      </c>
      <c r="E66" s="4" t="s">
        <v>30</v>
      </c>
      <c r="F66" s="4">
        <v>1</v>
      </c>
      <c r="G66" s="4">
        <v>4</v>
      </c>
      <c r="H66" s="4">
        <v>1</v>
      </c>
      <c r="I66" s="4">
        <v>5</v>
      </c>
      <c r="J66" s="4">
        <v>0</v>
      </c>
      <c r="K66" s="4">
        <v>4</v>
      </c>
      <c r="L66" s="4">
        <v>1</v>
      </c>
      <c r="M66" s="4">
        <v>10</v>
      </c>
      <c r="N66" s="4">
        <v>1</v>
      </c>
      <c r="O66" s="4">
        <v>7</v>
      </c>
    </row>
    <row r="67" spans="1:15">
      <c r="A67" s="4">
        <v>61</v>
      </c>
      <c r="B67" s="3" t="s">
        <v>93</v>
      </c>
      <c r="C67" s="3" t="s">
        <v>98</v>
      </c>
      <c r="D67" s="4" t="s">
        <v>29</v>
      </c>
      <c r="E67" s="4" t="s">
        <v>30</v>
      </c>
      <c r="F67" s="4">
        <v>1</v>
      </c>
      <c r="G67" s="4">
        <v>4</v>
      </c>
      <c r="H67" s="4">
        <v>1</v>
      </c>
      <c r="I67" s="4">
        <v>5</v>
      </c>
      <c r="J67" s="4">
        <v>0</v>
      </c>
      <c r="K67" s="4">
        <v>4</v>
      </c>
      <c r="L67" s="4">
        <v>0</v>
      </c>
      <c r="M67" s="4">
        <v>10</v>
      </c>
      <c r="N67" s="4">
        <v>1</v>
      </c>
      <c r="O67" s="4">
        <v>7</v>
      </c>
    </row>
    <row r="68" spans="1:15">
      <c r="A68" s="4">
        <v>62</v>
      </c>
      <c r="B68" s="3" t="s">
        <v>93</v>
      </c>
      <c r="C68" s="3" t="s">
        <v>99</v>
      </c>
      <c r="D68" s="4" t="s">
        <v>29</v>
      </c>
      <c r="E68" s="4" t="s">
        <v>30</v>
      </c>
      <c r="F68" s="4">
        <v>0</v>
      </c>
      <c r="G68" s="4">
        <v>4</v>
      </c>
      <c r="H68" s="4">
        <v>0</v>
      </c>
      <c r="I68" s="4">
        <v>5</v>
      </c>
      <c r="J68" s="4">
        <v>1</v>
      </c>
      <c r="K68" s="4">
        <v>4</v>
      </c>
      <c r="L68" s="4">
        <v>0</v>
      </c>
      <c r="M68" s="4">
        <v>10</v>
      </c>
      <c r="N68" s="4">
        <v>0</v>
      </c>
      <c r="O68" s="4">
        <v>7</v>
      </c>
    </row>
    <row r="69" spans="1:15">
      <c r="A69" s="4">
        <v>63</v>
      </c>
      <c r="B69" s="3" t="s">
        <v>100</v>
      </c>
      <c r="C69" s="3" t="s">
        <v>101</v>
      </c>
      <c r="D69" s="4" t="s">
        <v>30</v>
      </c>
      <c r="E69" s="4" t="s">
        <v>29</v>
      </c>
      <c r="F69" s="4">
        <v>1</v>
      </c>
      <c r="G69" s="4">
        <v>4</v>
      </c>
      <c r="H69" s="4">
        <v>1</v>
      </c>
      <c r="I69" s="4">
        <v>5</v>
      </c>
      <c r="J69" s="4">
        <v>1</v>
      </c>
      <c r="K69" s="4">
        <v>4</v>
      </c>
      <c r="L69" s="4">
        <v>1</v>
      </c>
      <c r="M69" s="4">
        <v>10</v>
      </c>
      <c r="N69" s="4">
        <v>1</v>
      </c>
      <c r="O69" s="4">
        <v>7</v>
      </c>
    </row>
    <row r="70" spans="1:15">
      <c r="A70" s="4">
        <v>64</v>
      </c>
      <c r="B70" s="3" t="s">
        <v>100</v>
      </c>
      <c r="C70" s="3" t="s">
        <v>102</v>
      </c>
      <c r="D70" s="4" t="s">
        <v>30</v>
      </c>
      <c r="E70" s="4" t="s">
        <v>29</v>
      </c>
      <c r="F70" s="4">
        <v>1</v>
      </c>
      <c r="G70" s="4">
        <v>4</v>
      </c>
      <c r="H70" s="4">
        <v>1</v>
      </c>
      <c r="I70" s="4">
        <v>5</v>
      </c>
      <c r="J70" s="4">
        <v>1</v>
      </c>
      <c r="K70" s="4">
        <v>4</v>
      </c>
      <c r="L70" s="4">
        <v>1</v>
      </c>
      <c r="M70" s="4">
        <v>10</v>
      </c>
      <c r="N70" s="4">
        <v>1</v>
      </c>
      <c r="O70" s="4">
        <v>7</v>
      </c>
    </row>
    <row r="71" spans="1:15">
      <c r="A71" s="4">
        <v>65</v>
      </c>
      <c r="B71" s="3" t="s">
        <v>100</v>
      </c>
      <c r="C71" s="3" t="s">
        <v>103</v>
      </c>
      <c r="D71" s="4" t="s">
        <v>30</v>
      </c>
      <c r="E71" s="4" t="s">
        <v>29</v>
      </c>
      <c r="F71" s="4">
        <v>1</v>
      </c>
      <c r="G71" s="4">
        <v>4</v>
      </c>
      <c r="H71" s="4">
        <v>1</v>
      </c>
      <c r="I71" s="4">
        <v>5</v>
      </c>
      <c r="J71" s="4">
        <v>1</v>
      </c>
      <c r="K71" s="4">
        <v>4</v>
      </c>
      <c r="L71" s="4">
        <v>1</v>
      </c>
      <c r="M71" s="4">
        <v>10</v>
      </c>
      <c r="N71" s="4">
        <v>0</v>
      </c>
      <c r="O71" s="4">
        <v>7</v>
      </c>
    </row>
    <row r="72" spans="1:15">
      <c r="A72" s="4">
        <v>66</v>
      </c>
      <c r="B72" s="3" t="s">
        <v>100</v>
      </c>
      <c r="C72" s="3" t="s">
        <v>104</v>
      </c>
      <c r="D72" s="4" t="s">
        <v>30</v>
      </c>
      <c r="E72" s="4" t="s">
        <v>29</v>
      </c>
      <c r="F72" s="4">
        <v>1</v>
      </c>
      <c r="G72" s="4">
        <v>4</v>
      </c>
      <c r="H72" s="4">
        <v>1</v>
      </c>
      <c r="I72" s="4">
        <v>5</v>
      </c>
      <c r="J72" s="4">
        <v>1</v>
      </c>
      <c r="K72" s="4">
        <v>4</v>
      </c>
      <c r="L72" s="4">
        <v>1</v>
      </c>
      <c r="M72" s="4">
        <v>10</v>
      </c>
      <c r="N72" s="4">
        <v>0</v>
      </c>
      <c r="O72" s="4">
        <v>7</v>
      </c>
    </row>
    <row r="73" spans="1:15">
      <c r="A73" s="4">
        <v>67</v>
      </c>
      <c r="B73" s="3" t="s">
        <v>100</v>
      </c>
      <c r="C73" s="3" t="s">
        <v>105</v>
      </c>
      <c r="D73" s="4" t="s">
        <v>30</v>
      </c>
      <c r="E73" s="4" t="s">
        <v>29</v>
      </c>
      <c r="F73" s="4">
        <v>0</v>
      </c>
      <c r="G73" s="4">
        <v>4</v>
      </c>
      <c r="H73" s="4">
        <v>1</v>
      </c>
      <c r="I73" s="4">
        <v>5</v>
      </c>
      <c r="J73" s="4">
        <v>1</v>
      </c>
      <c r="K73" s="4">
        <v>4</v>
      </c>
      <c r="L73" s="4">
        <v>0</v>
      </c>
      <c r="M73" s="4">
        <v>10</v>
      </c>
      <c r="N73" s="4">
        <v>1</v>
      </c>
      <c r="O73" s="4">
        <v>7</v>
      </c>
    </row>
    <row r="74" spans="1:15">
      <c r="A74" s="4">
        <v>68</v>
      </c>
      <c r="B74" s="3" t="s">
        <v>100</v>
      </c>
      <c r="C74" s="3" t="s">
        <v>106</v>
      </c>
      <c r="D74" s="4" t="s">
        <v>30</v>
      </c>
      <c r="E74" s="4" t="s">
        <v>29</v>
      </c>
      <c r="F74" s="4">
        <v>0</v>
      </c>
      <c r="G74" s="4">
        <v>4</v>
      </c>
      <c r="H74" s="4">
        <v>1</v>
      </c>
      <c r="I74" s="4">
        <v>5</v>
      </c>
      <c r="J74" s="4">
        <v>1</v>
      </c>
      <c r="K74" s="4">
        <v>4</v>
      </c>
      <c r="L74" s="4">
        <v>0</v>
      </c>
      <c r="M74" s="4">
        <v>10</v>
      </c>
      <c r="N74" s="4">
        <v>0</v>
      </c>
      <c r="O74" s="4">
        <v>7</v>
      </c>
    </row>
    <row r="75" spans="1:15">
      <c r="A75" s="4">
        <v>69</v>
      </c>
      <c r="B75" s="3" t="s">
        <v>100</v>
      </c>
      <c r="C75" s="3" t="s">
        <v>107</v>
      </c>
      <c r="D75" s="4" t="s">
        <v>30</v>
      </c>
      <c r="E75" s="4" t="s">
        <v>29</v>
      </c>
      <c r="F75" s="4">
        <v>1</v>
      </c>
      <c r="G75" s="4">
        <v>4</v>
      </c>
      <c r="H75" s="4">
        <v>1</v>
      </c>
      <c r="I75" s="4">
        <v>5</v>
      </c>
      <c r="J75" s="4">
        <v>1</v>
      </c>
      <c r="K75" s="4">
        <v>4</v>
      </c>
      <c r="L75" s="4">
        <v>1</v>
      </c>
      <c r="M75" s="4">
        <v>10</v>
      </c>
      <c r="N75" s="4">
        <v>0</v>
      </c>
      <c r="O75" s="4">
        <v>7</v>
      </c>
    </row>
    <row r="76" spans="1:15">
      <c r="A76" s="4">
        <v>70</v>
      </c>
      <c r="B76" s="3" t="s">
        <v>100</v>
      </c>
      <c r="C76" s="3" t="s">
        <v>108</v>
      </c>
      <c r="D76" s="4" t="s">
        <v>30</v>
      </c>
      <c r="E76" s="4" t="s">
        <v>29</v>
      </c>
      <c r="F76" s="4">
        <v>1</v>
      </c>
      <c r="G76" s="4">
        <v>4</v>
      </c>
      <c r="H76" s="4">
        <v>1</v>
      </c>
      <c r="I76" s="4">
        <v>5</v>
      </c>
      <c r="J76" s="4">
        <v>1</v>
      </c>
      <c r="K76" s="4">
        <v>4</v>
      </c>
      <c r="L76" s="4">
        <v>1</v>
      </c>
      <c r="M76" s="4">
        <v>10</v>
      </c>
      <c r="N76" s="4">
        <v>0</v>
      </c>
      <c r="O76" s="4">
        <v>7</v>
      </c>
    </row>
    <row r="77" spans="1:15">
      <c r="A77" s="4">
        <v>71</v>
      </c>
      <c r="B77" s="3" t="s">
        <v>100</v>
      </c>
      <c r="C77" s="3" t="s">
        <v>109</v>
      </c>
      <c r="D77" s="4" t="s">
        <v>30</v>
      </c>
      <c r="E77" s="4" t="s">
        <v>29</v>
      </c>
      <c r="F77" s="4">
        <v>1</v>
      </c>
      <c r="G77" s="4">
        <v>4</v>
      </c>
      <c r="H77" s="4">
        <v>1</v>
      </c>
      <c r="I77" s="4">
        <v>5</v>
      </c>
      <c r="J77" s="4">
        <v>1</v>
      </c>
      <c r="K77" s="4">
        <v>4</v>
      </c>
      <c r="L77" s="4">
        <v>1</v>
      </c>
      <c r="M77" s="4">
        <v>10</v>
      </c>
      <c r="N77" s="4">
        <v>0</v>
      </c>
      <c r="O77" s="4">
        <v>7</v>
      </c>
    </row>
    <row r="78" spans="1:15">
      <c r="A78" s="4">
        <v>72</v>
      </c>
      <c r="B78" s="3" t="s">
        <v>100</v>
      </c>
      <c r="C78" s="3" t="s">
        <v>110</v>
      </c>
      <c r="D78" s="4" t="s">
        <v>30</v>
      </c>
      <c r="E78" s="4" t="s">
        <v>29</v>
      </c>
      <c r="F78" s="4">
        <v>0</v>
      </c>
      <c r="G78" s="4">
        <v>4</v>
      </c>
      <c r="H78" s="4">
        <v>0</v>
      </c>
      <c r="I78" s="4">
        <v>5</v>
      </c>
      <c r="J78" s="4">
        <v>1</v>
      </c>
      <c r="K78" s="4">
        <v>4</v>
      </c>
      <c r="L78" s="4">
        <v>0</v>
      </c>
      <c r="M78" s="4">
        <v>10</v>
      </c>
      <c r="N78" s="4">
        <v>0</v>
      </c>
      <c r="O78" s="4">
        <v>7</v>
      </c>
    </row>
    <row r="79" spans="1:15">
      <c r="A79" s="4">
        <v>73</v>
      </c>
      <c r="B79" s="3" t="s">
        <v>111</v>
      </c>
      <c r="C79" s="3" t="s">
        <v>112</v>
      </c>
      <c r="D79" s="4" t="s">
        <v>29</v>
      </c>
      <c r="E79" s="4" t="s">
        <v>30</v>
      </c>
      <c r="F79" s="4">
        <v>1</v>
      </c>
      <c r="G79" s="4">
        <v>4</v>
      </c>
      <c r="H79" s="4">
        <v>1</v>
      </c>
      <c r="I79" s="4">
        <v>5</v>
      </c>
      <c r="J79" s="4">
        <v>0</v>
      </c>
      <c r="K79" s="4">
        <v>4</v>
      </c>
      <c r="L79" s="4">
        <v>1</v>
      </c>
      <c r="M79" s="4">
        <v>10</v>
      </c>
      <c r="N79" s="4">
        <v>0</v>
      </c>
      <c r="O79" s="4">
        <v>7</v>
      </c>
    </row>
    <row r="80" spans="1:15">
      <c r="A80" s="4">
        <v>74</v>
      </c>
      <c r="B80" s="3" t="s">
        <v>111</v>
      </c>
      <c r="C80" s="3" t="s">
        <v>113</v>
      </c>
      <c r="D80" s="4" t="s">
        <v>29</v>
      </c>
      <c r="E80" s="4" t="s">
        <v>30</v>
      </c>
      <c r="F80" s="4">
        <v>0</v>
      </c>
      <c r="G80" s="4">
        <v>4</v>
      </c>
      <c r="H80" s="4">
        <v>0</v>
      </c>
      <c r="I80" s="4">
        <v>5</v>
      </c>
      <c r="J80" s="4">
        <v>1</v>
      </c>
      <c r="K80" s="4">
        <v>4</v>
      </c>
      <c r="L80" s="4">
        <v>0</v>
      </c>
      <c r="M80" s="4">
        <v>10</v>
      </c>
      <c r="N80" s="4">
        <v>0</v>
      </c>
      <c r="O80" s="4">
        <v>7</v>
      </c>
    </row>
    <row r="81" spans="1:15">
      <c r="A81" s="4">
        <v>75</v>
      </c>
      <c r="B81" s="3" t="s">
        <v>111</v>
      </c>
      <c r="C81" s="3" t="s">
        <v>114</v>
      </c>
      <c r="D81" s="4" t="s">
        <v>30</v>
      </c>
      <c r="E81" s="4" t="s">
        <v>29</v>
      </c>
      <c r="F81" s="4">
        <v>1</v>
      </c>
      <c r="G81" s="4">
        <v>4</v>
      </c>
      <c r="H81" s="4">
        <v>1</v>
      </c>
      <c r="I81" s="4">
        <v>5</v>
      </c>
      <c r="J81" s="4">
        <v>1</v>
      </c>
      <c r="K81" s="4">
        <v>4</v>
      </c>
      <c r="L81" s="4">
        <v>1</v>
      </c>
      <c r="M81" s="4">
        <v>10</v>
      </c>
      <c r="N81" s="4">
        <v>0</v>
      </c>
      <c r="O81" s="4">
        <v>7</v>
      </c>
    </row>
    <row r="82" spans="1:15">
      <c r="A82" s="4">
        <v>76</v>
      </c>
      <c r="B82" s="3" t="s">
        <v>111</v>
      </c>
      <c r="C82" s="3" t="s">
        <v>115</v>
      </c>
      <c r="D82" s="4" t="s">
        <v>30</v>
      </c>
      <c r="E82" s="4" t="s">
        <v>29</v>
      </c>
      <c r="F82" s="4">
        <v>1</v>
      </c>
      <c r="G82" s="4">
        <v>4</v>
      </c>
      <c r="H82" s="4">
        <v>1</v>
      </c>
      <c r="I82" s="4">
        <v>5</v>
      </c>
      <c r="J82" s="4">
        <v>1</v>
      </c>
      <c r="K82" s="4">
        <v>4</v>
      </c>
      <c r="L82" s="4">
        <v>1</v>
      </c>
      <c r="M82" s="4">
        <v>10</v>
      </c>
      <c r="N82" s="4">
        <v>0</v>
      </c>
      <c r="O82" s="4">
        <v>7</v>
      </c>
    </row>
    <row r="83" spans="1:15">
      <c r="A83" s="19" t="s">
        <v>116</v>
      </c>
      <c r="B83" s="19" t="s">
        <v>117</v>
      </c>
      <c r="F83">
        <v>51</v>
      </c>
      <c r="G83" s="19">
        <f>SUMPRODUCT(F7:F82,G7:G82)</f>
        <v>204</v>
      </c>
      <c r="H83">
        <v>58</v>
      </c>
      <c r="I83" s="19">
        <f>SUMPRODUCT(H7:H82,I7:I82)</f>
        <v>290</v>
      </c>
      <c r="J83">
        <v>46</v>
      </c>
      <c r="K83" s="19">
        <f>SUMPRODUCT(J7:J82,K7:K82)</f>
        <v>184</v>
      </c>
      <c r="L83">
        <v>43</v>
      </c>
      <c r="M83" s="19">
        <f>SUMPRODUCT(L7:L82,M7:M82)</f>
        <v>430</v>
      </c>
      <c r="N83">
        <v>22</v>
      </c>
      <c r="O83" s="19">
        <f>SUMPRODUCT(N7:N82,O7:O82)</f>
        <v>154</v>
      </c>
    </row>
    <row r="85" spans="1:15">
      <c r="B85" s="16" t="s">
        <v>118</v>
      </c>
      <c r="C85" s="20">
        <f>G83+I83+K83+M83+O83</f>
        <v>1262</v>
      </c>
    </row>
    <row r="86" spans="1:15">
      <c r="B86" s="16" t="s">
        <v>119</v>
      </c>
      <c r="C86" s="20">
        <f>'Hệ số hiệu chỉnh'!C14</f>
        <v>48</v>
      </c>
    </row>
    <row r="87" spans="1:15">
      <c r="B87" s="16" t="s">
        <v>120</v>
      </c>
      <c r="C87" s="20">
        <f>0.65+0.01*C86</f>
        <v>1.13</v>
      </c>
    </row>
    <row r="88" spans="1:15">
      <c r="B88" s="16" t="s">
        <v>121</v>
      </c>
      <c r="C88" s="20">
        <f>C85*C87</f>
        <v>1426.06</v>
      </c>
    </row>
    <row r="91" spans="1:15">
      <c r="B91" s="5" t="s">
        <v>122</v>
      </c>
      <c r="C91" s="5" t="s">
        <v>123</v>
      </c>
      <c r="D91" s="5" t="s">
        <v>124</v>
      </c>
    </row>
    <row r="92" spans="1:15">
      <c r="B92" s="3" t="s">
        <v>125</v>
      </c>
      <c r="C92" s="4">
        <v>1500</v>
      </c>
      <c r="D92" s="4" t="s">
        <v>126</v>
      </c>
    </row>
    <row r="93" spans="1:15">
      <c r="B93" s="3" t="s">
        <v>127</v>
      </c>
      <c r="C93" s="4">
        <v>8</v>
      </c>
      <c r="D93" s="4" t="s">
        <v>128</v>
      </c>
    </row>
    <row r="94" spans="1:15">
      <c r="B94" s="3" t="s">
        <v>129</v>
      </c>
      <c r="C94" s="4">
        <f>C92/C93</f>
        <v>187.5</v>
      </c>
      <c r="D94" s="4" t="s">
        <v>130</v>
      </c>
    </row>
    <row r="95" spans="1:15">
      <c r="B95" s="3" t="s">
        <v>131</v>
      </c>
      <c r="C95" s="4">
        <f>C88</f>
        <v>1426.06</v>
      </c>
      <c r="D95" s="4" t="s">
        <v>132</v>
      </c>
    </row>
    <row r="96" spans="1:15">
      <c r="B96" s="3" t="s">
        <v>133</v>
      </c>
      <c r="C96" s="4">
        <f>C95/C93</f>
        <v>178.2575</v>
      </c>
      <c r="D96" s="4" t="s">
        <v>134</v>
      </c>
    </row>
    <row r="97" spans="2:4">
      <c r="B97" s="21" t="s">
        <v>135</v>
      </c>
      <c r="C97" s="19">
        <f>C95*C94</f>
        <v>267386.25</v>
      </c>
      <c r="D97" s="4" t="s">
        <v>126</v>
      </c>
    </row>
  </sheetData>
  <mergeCells count="6">
    <mergeCell ref="A1:O1"/>
    <mergeCell ref="D5:E5"/>
    <mergeCell ref="F5:O5"/>
    <mergeCell ref="A5:A6"/>
    <mergeCell ref="B5:B6"/>
    <mergeCell ref="C5:C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opLeftCell="A6" workbookViewId="0">
      <selection activeCell="A1" sqref="A1"/>
    </sheetView>
  </sheetViews>
  <sheetFormatPr defaultColWidth="9" defaultRowHeight="14.4" outlineLevelCol="3"/>
  <cols>
    <col min="1" max="1" width="6" customWidth="1"/>
    <col min="2" max="2" width="52" customWidth="1"/>
    <col min="3" max="3" width="12" customWidth="1"/>
    <col min="4" max="4" width="70" customWidth="1"/>
  </cols>
  <sheetData>
    <row r="1" spans="1:4">
      <c r="A1" s="5" t="s">
        <v>10</v>
      </c>
      <c r="B1" s="5" t="s">
        <v>136</v>
      </c>
      <c r="C1" s="5" t="s">
        <v>137</v>
      </c>
      <c r="D1" s="5" t="s">
        <v>138</v>
      </c>
    </row>
    <row r="2" ht="42" customHeight="1" spans="1:4">
      <c r="A2" s="4">
        <v>1</v>
      </c>
      <c r="B2" s="3" t="s">
        <v>139</v>
      </c>
      <c r="C2" s="4">
        <v>5</v>
      </c>
      <c r="D2" s="3" t="s">
        <v>140</v>
      </c>
    </row>
    <row r="3" ht="42" customHeight="1" spans="1:4">
      <c r="A3" s="4">
        <v>2</v>
      </c>
      <c r="B3" s="3" t="s">
        <v>141</v>
      </c>
      <c r="C3" s="4">
        <v>4</v>
      </c>
      <c r="D3" s="3" t="s">
        <v>142</v>
      </c>
    </row>
    <row r="4" ht="42" customHeight="1" spans="1:4">
      <c r="A4" s="4">
        <v>3</v>
      </c>
      <c r="B4" s="3" t="s">
        <v>143</v>
      </c>
      <c r="C4" s="4">
        <v>3</v>
      </c>
      <c r="D4" s="3" t="s">
        <v>144</v>
      </c>
    </row>
    <row r="5" ht="42" customHeight="1" spans="1:4">
      <c r="A5" s="4">
        <v>4</v>
      </c>
      <c r="B5" s="3" t="s">
        <v>145</v>
      </c>
      <c r="C5" s="4">
        <v>4</v>
      </c>
      <c r="D5" s="3" t="s">
        <v>146</v>
      </c>
    </row>
    <row r="6" ht="42" customHeight="1" spans="1:4">
      <c r="A6" s="4">
        <v>5</v>
      </c>
      <c r="B6" s="3" t="s">
        <v>147</v>
      </c>
      <c r="C6" s="4">
        <v>3</v>
      </c>
      <c r="D6" s="3" t="s">
        <v>148</v>
      </c>
    </row>
    <row r="7" ht="42" customHeight="1" spans="1:4">
      <c r="A7" s="4">
        <v>6</v>
      </c>
      <c r="B7" s="3" t="s">
        <v>149</v>
      </c>
      <c r="C7" s="4">
        <v>5</v>
      </c>
      <c r="D7" s="3" t="s">
        <v>150</v>
      </c>
    </row>
    <row r="8" ht="42" customHeight="1" spans="1:4">
      <c r="A8" s="4">
        <v>7</v>
      </c>
      <c r="B8" s="3" t="s">
        <v>151</v>
      </c>
      <c r="C8" s="4">
        <v>5</v>
      </c>
      <c r="D8" s="3" t="s">
        <v>152</v>
      </c>
    </row>
    <row r="9" ht="42" customHeight="1" spans="1:4">
      <c r="A9" s="4">
        <v>8</v>
      </c>
      <c r="B9" s="3" t="s">
        <v>153</v>
      </c>
      <c r="C9" s="4">
        <v>4</v>
      </c>
      <c r="D9" s="3" t="s">
        <v>154</v>
      </c>
    </row>
    <row r="10" ht="42" customHeight="1" spans="1:4">
      <c r="A10" s="4">
        <v>9</v>
      </c>
      <c r="B10" s="3" t="s">
        <v>155</v>
      </c>
      <c r="C10" s="4">
        <v>4</v>
      </c>
      <c r="D10" s="3" t="s">
        <v>156</v>
      </c>
    </row>
    <row r="11" ht="42" customHeight="1" spans="1:4">
      <c r="A11" s="4">
        <v>10</v>
      </c>
      <c r="B11" s="3" t="s">
        <v>157</v>
      </c>
      <c r="C11" s="4">
        <v>4</v>
      </c>
      <c r="D11" s="3" t="s">
        <v>158</v>
      </c>
    </row>
    <row r="12" ht="42" customHeight="1" spans="1:4">
      <c r="A12" s="4">
        <v>11</v>
      </c>
      <c r="B12" s="3" t="s">
        <v>159</v>
      </c>
      <c r="C12" s="4">
        <v>3</v>
      </c>
      <c r="D12" s="3" t="s">
        <v>160</v>
      </c>
    </row>
    <row r="13" ht="42" customHeight="1" spans="1:4">
      <c r="A13" s="4">
        <v>12</v>
      </c>
      <c r="B13" s="3" t="s">
        <v>161</v>
      </c>
      <c r="C13" s="4">
        <v>4</v>
      </c>
      <c r="D13" s="3" t="s">
        <v>162</v>
      </c>
    </row>
    <row r="14" spans="1:4">
      <c r="A14" s="14"/>
      <c r="B14" s="15" t="s">
        <v>163</v>
      </c>
      <c r="C14" s="15">
        <f>SUM(C2:C13)</f>
        <v>48</v>
      </c>
      <c r="D14" s="14"/>
    </row>
    <row r="15" spans="1:4">
      <c r="A15" s="14"/>
      <c r="B15" s="16" t="s">
        <v>120</v>
      </c>
      <c r="C15" s="16">
        <f>0.65+0.01*C14</f>
        <v>1.13</v>
      </c>
      <c r="D15" s="1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opLeftCell="A6" workbookViewId="0">
      <selection activeCell="D5" sqref="D5"/>
    </sheetView>
  </sheetViews>
  <sheetFormatPr defaultColWidth="9" defaultRowHeight="14.4" outlineLevelCol="3"/>
  <cols>
    <col min="1" max="1" width="6" customWidth="1"/>
    <col min="2" max="2" width="28" customWidth="1"/>
    <col min="3" max="3" width="50" customWidth="1"/>
    <col min="4" max="4" width="70" customWidth="1"/>
  </cols>
  <sheetData>
    <row r="1" ht="26" customHeight="1" spans="1:4">
      <c r="A1" s="1" t="s">
        <v>164</v>
      </c>
    </row>
    <row r="3" spans="1:4">
      <c r="A3" s="5" t="s">
        <v>10</v>
      </c>
      <c r="B3" s="5" t="s">
        <v>165</v>
      </c>
      <c r="C3" s="5" t="s">
        <v>166</v>
      </c>
      <c r="D3" s="5" t="s">
        <v>167</v>
      </c>
    </row>
    <row r="4" spans="1:4">
      <c r="A4" s="12">
        <v>1</v>
      </c>
      <c r="B4" s="13" t="s">
        <v>168</v>
      </c>
      <c r="C4" s="13" t="s">
        <v>169</v>
      </c>
      <c r="D4" s="13" t="s">
        <v>170</v>
      </c>
    </row>
    <row r="5" spans="1:4">
      <c r="A5" s="4">
        <v>2</v>
      </c>
      <c r="B5" s="3" t="s">
        <v>171</v>
      </c>
      <c r="C5" s="3" t="s">
        <v>172</v>
      </c>
      <c r="D5" s="3" t="s">
        <v>173</v>
      </c>
    </row>
    <row r="6" ht="28.8" spans="1:4">
      <c r="A6" s="12">
        <v>3</v>
      </c>
      <c r="B6" s="13" t="s">
        <v>174</v>
      </c>
      <c r="C6" s="13" t="s">
        <v>175</v>
      </c>
      <c r="D6" s="13" t="s">
        <v>176</v>
      </c>
    </row>
    <row r="7" ht="28.8" spans="1:4">
      <c r="A7" s="4">
        <v>4</v>
      </c>
      <c r="B7" s="3" t="s">
        <v>177</v>
      </c>
      <c r="C7" s="3" t="s">
        <v>178</v>
      </c>
      <c r="D7" s="3" t="s">
        <v>179</v>
      </c>
    </row>
    <row r="8" ht="28.8" spans="1:4">
      <c r="A8" s="12">
        <v>5</v>
      </c>
      <c r="B8" s="13" t="s">
        <v>180</v>
      </c>
      <c r="C8" s="13" t="s">
        <v>181</v>
      </c>
      <c r="D8" s="13" t="s">
        <v>182</v>
      </c>
    </row>
    <row r="9" spans="1:4">
      <c r="A9" s="4">
        <v>6</v>
      </c>
      <c r="B9" s="3" t="s">
        <v>183</v>
      </c>
      <c r="C9" s="3" t="s">
        <v>184</v>
      </c>
      <c r="D9" s="3" t="s">
        <v>185</v>
      </c>
    </row>
    <row r="10" spans="1:4">
      <c r="A10" s="12">
        <v>7</v>
      </c>
      <c r="B10" s="13" t="s">
        <v>186</v>
      </c>
      <c r="C10" s="13" t="s">
        <v>187</v>
      </c>
      <c r="D10" s="13" t="s">
        <v>188</v>
      </c>
    </row>
    <row r="11" spans="1:4">
      <c r="A11" s="4">
        <v>8</v>
      </c>
      <c r="B11" s="3" t="s">
        <v>189</v>
      </c>
      <c r="C11" s="3" t="s">
        <v>190</v>
      </c>
      <c r="D11" s="3" t="s">
        <v>191</v>
      </c>
    </row>
    <row r="12" spans="1:4">
      <c r="A12" s="12">
        <v>9</v>
      </c>
      <c r="B12" s="13" t="s">
        <v>192</v>
      </c>
      <c r="C12" s="13" t="s">
        <v>193</v>
      </c>
      <c r="D12" s="13" t="s">
        <v>194</v>
      </c>
    </row>
    <row r="13" spans="1:4">
      <c r="A13" s="4">
        <v>10</v>
      </c>
      <c r="B13" s="3" t="s">
        <v>195</v>
      </c>
      <c r="C13" s="3" t="s">
        <v>196</v>
      </c>
      <c r="D13" s="3" t="s">
        <v>197</v>
      </c>
    </row>
    <row r="14" spans="1:4">
      <c r="A14" s="12">
        <v>11</v>
      </c>
      <c r="B14" s="13" t="s">
        <v>198</v>
      </c>
      <c r="C14" s="13" t="s">
        <v>199</v>
      </c>
      <c r="D14" s="13" t="s">
        <v>200</v>
      </c>
    </row>
    <row r="15" spans="1:4">
      <c r="A15" s="4">
        <v>12</v>
      </c>
      <c r="B15" s="3" t="s">
        <v>201</v>
      </c>
      <c r="C15" s="3" t="s">
        <v>202</v>
      </c>
      <c r="D15" s="3" t="s">
        <v>203</v>
      </c>
    </row>
    <row r="16" spans="1:4">
      <c r="A16" s="12">
        <v>13</v>
      </c>
      <c r="B16" s="13" t="s">
        <v>204</v>
      </c>
      <c r="C16" s="13" t="s">
        <v>205</v>
      </c>
      <c r="D16" s="13" t="s">
        <v>206</v>
      </c>
    </row>
    <row r="17" spans="1:4">
      <c r="A17" s="4">
        <v>14</v>
      </c>
      <c r="B17" s="3" t="s">
        <v>207</v>
      </c>
      <c r="C17" s="3" t="s">
        <v>208</v>
      </c>
      <c r="D17" s="3" t="s">
        <v>209</v>
      </c>
    </row>
    <row r="18" spans="1:4">
      <c r="A18" s="12">
        <v>15</v>
      </c>
      <c r="B18" s="13" t="s">
        <v>210</v>
      </c>
      <c r="C18" s="13" t="s">
        <v>211</v>
      </c>
      <c r="D18" s="13" t="s">
        <v>212</v>
      </c>
    </row>
    <row r="19" spans="1:4">
      <c r="A19" s="4">
        <v>16</v>
      </c>
      <c r="B19" s="3" t="s">
        <v>213</v>
      </c>
      <c r="C19" s="3" t="s">
        <v>214</v>
      </c>
      <c r="D19" s="3" t="s">
        <v>215</v>
      </c>
    </row>
    <row r="20" spans="1:4">
      <c r="A20" s="12">
        <v>17</v>
      </c>
      <c r="B20" s="13" t="s">
        <v>216</v>
      </c>
      <c r="C20" s="13" t="s">
        <v>217</v>
      </c>
      <c r="D20" s="13" t="s">
        <v>218</v>
      </c>
    </row>
    <row r="21" spans="1:4">
      <c r="A21" s="4">
        <v>18</v>
      </c>
      <c r="B21" s="3" t="s">
        <v>219</v>
      </c>
      <c r="C21" s="3" t="s">
        <v>220</v>
      </c>
      <c r="D21" s="3" t="s">
        <v>221</v>
      </c>
    </row>
    <row r="22" spans="1:4">
      <c r="A22" s="12">
        <v>19</v>
      </c>
      <c r="B22" s="13" t="s">
        <v>222</v>
      </c>
      <c r="C22" s="13" t="s">
        <v>223</v>
      </c>
      <c r="D22" s="13" t="s">
        <v>224</v>
      </c>
    </row>
    <row r="23" spans="1:4">
      <c r="A23" s="4">
        <v>20</v>
      </c>
      <c r="B23" s="3" t="s">
        <v>225</v>
      </c>
      <c r="C23" s="3" t="s">
        <v>226</v>
      </c>
      <c r="D23" s="3" t="s">
        <v>227</v>
      </c>
    </row>
    <row r="24" spans="1:4">
      <c r="A24" s="12">
        <v>21</v>
      </c>
      <c r="B24" s="13" t="s">
        <v>228</v>
      </c>
      <c r="C24" s="13" t="s">
        <v>229</v>
      </c>
      <c r="D24" s="13" t="s">
        <v>230</v>
      </c>
    </row>
    <row r="25" spans="1:4">
      <c r="A25" s="4">
        <v>22</v>
      </c>
      <c r="B25" s="3" t="s">
        <v>231</v>
      </c>
      <c r="C25" s="3" t="s">
        <v>232</v>
      </c>
      <c r="D25" s="3" t="s">
        <v>233</v>
      </c>
    </row>
  </sheetData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A1" sqref="A1:D1"/>
    </sheetView>
  </sheetViews>
  <sheetFormatPr defaultColWidth="9" defaultRowHeight="14.4" outlineLevelCol="3"/>
  <cols>
    <col min="1" max="1" width="34" customWidth="1"/>
    <col min="2" max="2" width="12" customWidth="1"/>
    <col min="3" max="3" width="22" customWidth="1"/>
    <col min="4" max="4" width="70" customWidth="1"/>
  </cols>
  <sheetData>
    <row r="1" ht="26" customHeight="1" spans="1:4">
      <c r="A1" s="1" t="s">
        <v>234</v>
      </c>
    </row>
    <row r="3" spans="1:4">
      <c r="A3" s="2" t="s">
        <v>235</v>
      </c>
    </row>
    <row r="4" spans="1:4">
      <c r="A4" s="3" t="s">
        <v>236</v>
      </c>
      <c r="B4" s="4"/>
      <c r="C4" s="4">
        <f>'Danh sách chức năng'!C85</f>
        <v>1262</v>
      </c>
      <c r="D4" s="4" t="s">
        <v>132</v>
      </c>
    </row>
    <row r="5" spans="1:4">
      <c r="A5" s="3" t="s">
        <v>237</v>
      </c>
      <c r="B5" s="4"/>
      <c r="C5" s="4">
        <f>'Hệ số hiệu chỉnh'!C14</f>
        <v>48</v>
      </c>
      <c r="D5" s="4" t="s">
        <v>29</v>
      </c>
    </row>
    <row r="6" spans="1:4">
      <c r="A6" s="3" t="s">
        <v>238</v>
      </c>
      <c r="B6" s="4"/>
      <c r="C6" s="4">
        <f>'Hệ số hiệu chỉnh'!C15</f>
        <v>1.13</v>
      </c>
      <c r="D6" s="4" t="s">
        <v>29</v>
      </c>
    </row>
    <row r="7" spans="1:4">
      <c r="A7" s="3" t="s">
        <v>239</v>
      </c>
      <c r="B7" s="4"/>
      <c r="C7" s="4">
        <f>'Danh sách chức năng'!C88</f>
        <v>1426.06</v>
      </c>
      <c r="D7" s="4" t="s">
        <v>132</v>
      </c>
    </row>
    <row r="8" spans="1:4">
      <c r="A8" s="3" t="s">
        <v>125</v>
      </c>
      <c r="B8" s="4"/>
      <c r="C8" s="4">
        <v>1500</v>
      </c>
      <c r="D8" s="4" t="s">
        <v>126</v>
      </c>
    </row>
    <row r="9" spans="1:4">
      <c r="A9" s="3" t="s">
        <v>127</v>
      </c>
      <c r="B9" s="4"/>
      <c r="C9" s="4">
        <v>8</v>
      </c>
      <c r="D9" s="4" t="s">
        <v>128</v>
      </c>
    </row>
    <row r="10" spans="1:4">
      <c r="A10" s="3" t="s">
        <v>129</v>
      </c>
      <c r="B10" s="4"/>
      <c r="C10" s="4">
        <f>C8/C9</f>
        <v>187.5</v>
      </c>
      <c r="D10" s="4" t="s">
        <v>130</v>
      </c>
    </row>
    <row r="11" spans="1:4">
      <c r="A11" s="3" t="s">
        <v>133</v>
      </c>
      <c r="B11" s="4"/>
      <c r="C11" s="4">
        <f>C7/C9</f>
        <v>178.2575</v>
      </c>
      <c r="D11" s="4" t="s">
        <v>134</v>
      </c>
    </row>
    <row r="12" spans="1:4">
      <c r="A12" s="3" t="s">
        <v>240</v>
      </c>
      <c r="B12" s="4"/>
      <c r="C12" s="4">
        <f>C7*C10</f>
        <v>267386.25</v>
      </c>
      <c r="D12" s="4" t="s">
        <v>126</v>
      </c>
    </row>
    <row r="15" spans="1:4">
      <c r="A15" s="5" t="s">
        <v>241</v>
      </c>
      <c r="B15" s="5" t="s">
        <v>242</v>
      </c>
      <c r="C15" s="5" t="s">
        <v>243</v>
      </c>
      <c r="D15" s="5" t="s">
        <v>244</v>
      </c>
    </row>
    <row r="16" spans="1:4">
      <c r="A16" s="3" t="s">
        <v>245</v>
      </c>
      <c r="B16" s="6">
        <v>0.08</v>
      </c>
      <c r="C16" s="7">
        <f>B16*C12</f>
        <v>21390.9</v>
      </c>
      <c r="D16" s="3" t="s">
        <v>246</v>
      </c>
    </row>
    <row r="17" spans="1:4">
      <c r="A17" s="3" t="s">
        <v>247</v>
      </c>
      <c r="B17" s="6">
        <v>0.1</v>
      </c>
      <c r="C17" s="7">
        <f>B17*C12</f>
        <v>26738.625</v>
      </c>
      <c r="D17" s="3" t="s">
        <v>248</v>
      </c>
    </row>
    <row r="18" spans="1:4">
      <c r="A18" s="3" t="s">
        <v>249</v>
      </c>
      <c r="B18" s="6">
        <v>0.45</v>
      </c>
      <c r="C18" s="7">
        <f>B18*C12</f>
        <v>120323.8125</v>
      </c>
      <c r="D18" s="3" t="s">
        <v>250</v>
      </c>
    </row>
    <row r="19" spans="1:4">
      <c r="A19" s="3" t="s">
        <v>251</v>
      </c>
      <c r="B19" s="6">
        <v>0.15</v>
      </c>
      <c r="C19" s="7">
        <f>B19*C12</f>
        <v>40107.9375</v>
      </c>
      <c r="D19" s="3" t="s">
        <v>252</v>
      </c>
    </row>
    <row r="20" spans="1:4">
      <c r="A20" s="3" t="s">
        <v>253</v>
      </c>
      <c r="B20" s="6">
        <v>0.05</v>
      </c>
      <c r="C20" s="7">
        <f>B20*C12</f>
        <v>13369.3125</v>
      </c>
      <c r="D20" s="3" t="s">
        <v>254</v>
      </c>
    </row>
    <row r="21" spans="1:4">
      <c r="A21" s="3" t="s">
        <v>255</v>
      </c>
      <c r="B21" s="6">
        <v>0.03</v>
      </c>
      <c r="C21" s="7">
        <f>B21*C12</f>
        <v>8021.5875</v>
      </c>
      <c r="D21" s="3" t="s">
        <v>256</v>
      </c>
    </row>
    <row r="22" spans="1:4">
      <c r="A22" s="3" t="s">
        <v>257</v>
      </c>
      <c r="B22" s="6">
        <v>0.07</v>
      </c>
      <c r="C22" s="7">
        <f>B22*C12</f>
        <v>18717.0375</v>
      </c>
      <c r="D22" s="3" t="s">
        <v>258</v>
      </c>
    </row>
    <row r="23" spans="1:4">
      <c r="A23" s="3" t="s">
        <v>259</v>
      </c>
      <c r="B23" s="6">
        <v>0.07</v>
      </c>
      <c r="C23" s="7">
        <f>B23*C12</f>
        <v>18717.0375</v>
      </c>
      <c r="D23" s="3" t="s">
        <v>260</v>
      </c>
    </row>
    <row r="24" spans="1:4">
      <c r="A24" s="8" t="s">
        <v>261</v>
      </c>
      <c r="B24" s="9">
        <f>SUM(B16:B23)</f>
        <v>1</v>
      </c>
      <c r="C24" s="10">
        <f>SUM(C16:C23)</f>
        <v>267386.25</v>
      </c>
      <c r="D24" s="11"/>
    </row>
  </sheetData>
  <mergeCells count="2">
    <mergeCell ref="A1:D1"/>
    <mergeCell ref="A3:D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Danh sách chức năng</vt:lpstr>
      <vt:lpstr>Hệ số hiệu chỉnh</vt:lpstr>
      <vt:lpstr>Công nghệ triển khai</vt:lpstr>
      <vt:lpstr>Danh mục chi phí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PC</cp:lastModifiedBy>
  <dcterms:created xsi:type="dcterms:W3CDTF">2026-05-27T00:53:00Z</dcterms:created>
  <dcterms:modified xsi:type="dcterms:W3CDTF">2026-05-27T09:59:06Z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143F8924234B46E3B2CBCC2084171125_12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